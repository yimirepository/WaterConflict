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Experiment\11Water\F_Picture\Figure5\20241124_Figure5\"/>
    </mc:Choice>
  </mc:AlternateContent>
  <xr:revisionPtr revIDLastSave="0" documentId="13_ncr:1_{EFEBDF79-8BBB-4206-8268-E6868F55ED95}" xr6:coauthVersionLast="47" xr6:coauthVersionMax="47" xr10:uidLastSave="{00000000-0000-0000-0000-000000000000}"/>
  <bookViews>
    <workbookView xWindow="-103" yWindow="-103" windowWidth="22149" windowHeight="13200" activeTab="2" xr2:uid="{CDEAD128-6063-4CAB-B8B8-1D3567FE0D0C}"/>
  </bookViews>
  <sheets>
    <sheet name="shap interaction" sheetId="2" r:id="rId1"/>
    <sheet name="correlation_matrix" sheetId="3" r:id="rId2"/>
    <sheet name="radar 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5" i="1"/>
  <c r="O11" i="2"/>
  <c r="O12" i="2"/>
  <c r="O13" i="2"/>
  <c r="O14" i="2"/>
  <c r="O15" i="2"/>
  <c r="O10" i="2"/>
  <c r="J16" i="2"/>
  <c r="K16" i="2"/>
  <c r="L16" i="2"/>
  <c r="M16" i="2"/>
  <c r="N16" i="2"/>
  <c r="I16" i="2"/>
  <c r="N3" i="1"/>
  <c r="N4" i="1"/>
  <c r="N5" i="1"/>
  <c r="N6" i="1"/>
  <c r="N7" i="1"/>
  <c r="N2" i="1"/>
  <c r="J3" i="1"/>
  <c r="J4" i="1"/>
  <c r="J5" i="1"/>
  <c r="J6" i="1"/>
  <c r="J7" i="1"/>
  <c r="J2" i="1"/>
  <c r="O4" i="1"/>
  <c r="O6" i="1"/>
  <c r="O7" i="1"/>
  <c r="O2" i="1"/>
  <c r="L3" i="1"/>
  <c r="L4" i="1"/>
  <c r="L5" i="1"/>
  <c r="L6" i="1"/>
  <c r="L7" i="1"/>
  <c r="L2" i="1"/>
  <c r="K3" i="1"/>
  <c r="K4" i="1"/>
  <c r="K5" i="1"/>
  <c r="K6" i="1"/>
  <c r="K7" i="1"/>
  <c r="K2" i="1"/>
  <c r="B11" i="3"/>
  <c r="B12" i="3"/>
  <c r="B13" i="3"/>
  <c r="B14" i="3"/>
  <c r="B15" i="3"/>
  <c r="B10" i="3"/>
  <c r="D11" i="3"/>
  <c r="D12" i="3"/>
  <c r="D13" i="3"/>
  <c r="D14" i="3"/>
  <c r="D15" i="3"/>
  <c r="D10" i="3"/>
  <c r="C11" i="3"/>
  <c r="C12" i="3"/>
  <c r="C13" i="3"/>
  <c r="C14" i="3"/>
  <c r="C15" i="3"/>
  <c r="C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9" authorId="0" shapeId="0" xr:uid="{364E2BE9-86FE-4C95-A6F3-FEF8C531A8E6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倒序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1" authorId="0" shapeId="0" xr:uid="{269619C1-84DD-4DCC-A522-FD06B9255B7D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倒序</t>
        </r>
      </text>
    </comment>
  </commentList>
</comments>
</file>

<file path=xl/sharedStrings.xml><?xml version="1.0" encoding="utf-8"?>
<sst xmlns="http://schemas.openxmlformats.org/spreadsheetml/2006/main" count="126" uniqueCount="67">
  <si>
    <t>Affordable</t>
  </si>
  <si>
    <t>Facilitative</t>
  </si>
  <si>
    <t>Stress relieving</t>
  </si>
  <si>
    <t>Complementary</t>
  </si>
  <si>
    <t>Preventive</t>
  </si>
  <si>
    <t>Prescriptive</t>
  </si>
  <si>
    <t>shap interaction</t>
    <phoneticPr fontId="20" type="noConversion"/>
  </si>
  <si>
    <t>gdp_percapita</t>
  </si>
  <si>
    <t>export</t>
  </si>
  <si>
    <t>population_density</t>
  </si>
  <si>
    <t>rural_population</t>
  </si>
  <si>
    <t>precipitation</t>
  </si>
  <si>
    <t>bws_score</t>
  </si>
  <si>
    <t>Cross-Border Basin Agreements</t>
  </si>
  <si>
    <t>Collaborative River Basin Planning</t>
  </si>
  <si>
    <t>Joint Water Allocation Models</t>
  </si>
  <si>
    <t>Joint Data-Sharing Systems</t>
  </si>
  <si>
    <t>Transboundary Water Quality Standards</t>
  </si>
  <si>
    <t>Coordinated Hydropower Operations</t>
  </si>
  <si>
    <t>Affordable</t>
    <phoneticPr fontId="18" type="noConversion"/>
  </si>
  <si>
    <t>Conflict</t>
  </si>
  <si>
    <t>1st</t>
    <phoneticPr fontId="18" type="noConversion"/>
  </si>
  <si>
    <t xml:space="preserve">3rd </t>
  </si>
  <si>
    <t>2nd</t>
  </si>
  <si>
    <t>4th</t>
    <phoneticPr fontId="18" type="noConversion"/>
  </si>
  <si>
    <t>5th</t>
    <phoneticPr fontId="18" type="noConversion"/>
  </si>
  <si>
    <t>6th</t>
    <phoneticPr fontId="18" type="noConversion"/>
  </si>
  <si>
    <t>Cross-Border Basin Agreements</t>
    <phoneticPr fontId="18" type="noConversion"/>
  </si>
  <si>
    <t xml:space="preserve">Water-related cooperation mode "Cross-Border Basin Agreements" has a feature importance of -0.0374959641558908, which ranks 1st out of 6 total cooperation modes. </t>
  </si>
  <si>
    <t xml:space="preserve">Water-related cooperation mode "Cross-Border Basin Agreements" has a feature importance of -0.0765928597656045, which ranks 5th out of 6 total cooperation modes. </t>
  </si>
  <si>
    <t xml:space="preserve">Water-related cooperation mode "Cross-Border Basin Agreements" has a feature importance of 0.032080856856255, which ranks 3rd out of 6 total cooperation modes. </t>
  </si>
  <si>
    <t xml:space="preserve">Water-related cooperation mode "Cross-Border Basin Agreements" has a feature importance of -0.784894, which ranks 6th out of 6 total cooperation modes. </t>
  </si>
  <si>
    <t xml:space="preserve">Water-related cooperation mode "Collaborative River Basin Planning" has a feature importance of -0.0256889894714085, which ranks 4th out of 6 total cooperation modes. </t>
  </si>
  <si>
    <t xml:space="preserve">Water-related cooperation mode "Collaborative River Basin Planning" has a feature importance of -0.0622922481338124, which ranks 3rd out of 6 total cooperation modes. </t>
  </si>
  <si>
    <t xml:space="preserve">Water-related cooperation mode "Collaborative River Basin Planning" has a feature importance of -0.00724657433967414, which ranks 6th out of 6 total cooperation modes. </t>
  </si>
  <si>
    <t xml:space="preserve">Water-related cooperation mode "Collaborative River Basin Planning" has a feature importance of -0.867872, which ranks 3rd out of 6 total cooperation modes. </t>
  </si>
  <si>
    <t>Joint Water Allocation Models</t>
    <phoneticPr fontId="18" type="noConversion"/>
  </si>
  <si>
    <t xml:space="preserve">Water-related cooperation mode "Joint Water Allocation Models" has a feature importance of -0.0365428421246902, which ranks 2nd out of 6 total cooperation modes. </t>
  </si>
  <si>
    <t xml:space="preserve">Water-related cooperation mode "Joint Water Allocation Models" has a feature importance of -0.0727313752734498, which ranks 4th out of 6 total cooperation modes. </t>
  </si>
  <si>
    <t xml:space="preserve">Water-related cooperation mode "Joint Water Allocation Models" has a feature importance of 0.063185549907489, which ranks 1st out of 6 total cooperation modes. </t>
  </si>
  <si>
    <t xml:space="preserve">Water-related cooperation mode "Joint Water Allocation Models" has a feature importance of -0.835957, which ranks 5th out of 6 total cooperation modes. </t>
  </si>
  <si>
    <t>Joint Data-Sharing Systems</t>
    <phoneticPr fontId="18" type="noConversion"/>
  </si>
  <si>
    <t xml:space="preserve">Water-related cooperation mode "Joint Data-Sharing Systems" has a feature importance of -0.00861985688967594, which ranks 5th out of 6 total cooperation modes. </t>
  </si>
  <si>
    <t xml:space="preserve">Water-related cooperation mode "Joint Data-Sharing Systems" has a feature importance of -0.0270335342083512, which ranks 2nd out of 6 total cooperation modes. </t>
  </si>
  <si>
    <t xml:space="preserve">Water-related cooperation mode "Joint Data-Sharing Systems" has a feature importance of 0.0309620112359462, which ranks 4th out of 6 total cooperation modes. </t>
  </si>
  <si>
    <t xml:space="preserve">Water-related cooperation mode "Joint Data-Sharing Systems" has a feature importance of -0.864894, which ranks 4th out of 6 total cooperation modes. </t>
  </si>
  <si>
    <t xml:space="preserve">Water-related cooperation mode "Transboundary Water Quality Standards" has a feature importance of 0.0688677634050435, which ranks 6th out of 6 total cooperation modes. </t>
  </si>
  <si>
    <t xml:space="preserve">Water-related cooperation mode "Transboundary Water Quality Standards" has a feature importance of 0.0316100375194427, which ranks 1st out of 6 total cooperation modes. </t>
  </si>
  <si>
    <t xml:space="preserve">Water-related cooperation mode "Transboundary Water Quality Standards" has a feature importance of 0.0245982707762208, which ranks 5th out of 6 total cooperation modes. </t>
  </si>
  <si>
    <t xml:space="preserve">Water-related cooperation mode "Transboundary Water Quality Standards" has a feature importance of -0.878936, which ranks 2nd out of 6 total cooperation modes. </t>
  </si>
  <si>
    <t>Coordinated Hydropower Operations</t>
    <phoneticPr fontId="18" type="noConversion"/>
  </si>
  <si>
    <t xml:space="preserve">Water-related cooperation mode "Coordinated Hydropower Operations" has a feature importance of -0.0286795693948338, which ranks 3rd out of 6 total cooperation modes. </t>
  </si>
  <si>
    <t xml:space="preserve">Water-related cooperation mode "Coordinated Hydropower Operations" has a feature importance of -0.0812592184292324, which ranks 6th out of 6 total cooperation modes. </t>
  </si>
  <si>
    <t xml:space="preserve">Water-related cooperation mode "Coordinated Hydropower Operations" has a feature importance of 0.0356459494087157, which ranks 2nd out of 6 total cooperation modes. </t>
  </si>
  <si>
    <t xml:space="preserve">Water-related cooperation mode "Coordinated Hydropower Operations" has a feature importance of -0.890319, which ranks 1st out of 6 total cooperation modes. </t>
  </si>
  <si>
    <t xml:space="preserve">Water-related cooperation mode "Cross-Border Basin Agreements" has a feature importance of -0.000385274927108266, which ranks 1st out of 6 total cooperation modes. </t>
    <phoneticPr fontId="18" type="noConversion"/>
  </si>
  <si>
    <t xml:space="preserve">Water-related cooperation mode "Collaborative River Basin Planning" has a feature importance of -0.000116743144102702, which ranks 3rd out of 6 total cooperation modes. </t>
    <phoneticPr fontId="18" type="noConversion"/>
  </si>
  <si>
    <t xml:space="preserve">Water-related cooperation mode "Joint Water Allocation Models" has a feature importance of 0.0000428526979750374, which ranks 6th out of 6 total cooperation modes. </t>
    <phoneticPr fontId="18" type="noConversion"/>
  </si>
  <si>
    <t xml:space="preserve">Water-related cooperation mode "Joint Data-Sharing Systems" has a feature importance of -0.000117685666578574, which ranks 2nd out of 6 total cooperation modes. </t>
    <phoneticPr fontId="18" type="noConversion"/>
  </si>
  <si>
    <t xml:space="preserve">Water-related cooperation mode "Transboundary Water Quality Standards" has a feature importance of -0.0000494299176885446, which ranks 4th out of 6 total cooperation modes. </t>
    <phoneticPr fontId="18" type="noConversion"/>
  </si>
  <si>
    <t xml:space="preserve">Water-related cooperation mode "Coordinated Hydropower Operations" has a feature importance of -1.63210679028503E-06, which ranks 5th out of 6 total cooperation modes. </t>
    <phoneticPr fontId="18" type="noConversion"/>
  </si>
  <si>
    <t>Water-related cooperation mode "Cross-Border Basin Agreements" has a feature importance of 0.027068, which ranks 1st out of 6 total cooperation modes and belongs to the best MAE group.</t>
    <phoneticPr fontId="18" type="noConversion"/>
  </si>
  <si>
    <t xml:space="preserve">Water-related cooperation mode "Collaborative River Basin Planning" has a feature importance of 0.006018, which ranks 5th out of 6 total cooperation modes and belongs to the best MAE group. </t>
    <phoneticPr fontId="18" type="noConversion"/>
  </si>
  <si>
    <t>Water-related cooperation mode "Joint Water Allocation Models" has a feature importance of 0.013393, which ranks 2nd out of 6 total cooperation modes and belongs to the best MAE group.</t>
    <phoneticPr fontId="18" type="noConversion"/>
  </si>
  <si>
    <t>Water-related cooperation mode "Joint Data-Sharing Systems" has a feature importance of 0.009157, which ranks 3rd out of 6 total cooperation modes and does not belong to the best MAE group.</t>
    <phoneticPr fontId="18" type="noConversion"/>
  </si>
  <si>
    <t>Water-related cooperation mode "Transboundary Water Quality Standards" has a feature importance of 0.00658, which ranks 4th out of 6 total cooperation modes and does not belong to the best MAE group.</t>
    <phoneticPr fontId="18" type="noConversion"/>
  </si>
  <si>
    <t>Water-related cooperation mode "Coordinated Hydropower Operations" has a feature importance of 0.00458, which ranks 6th out of 6 total cooperation modes and does not belong  to the best MAE group.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</si>
</sst>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_ "/>
  </numFmts>
  <fonts count="2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宋体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b/>
      <sz val="11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21" fillId="0" borderId="10" xfId="0" applyFont="1" applyBorder="1" applyAlignment="1">
      <alignment horizontal="center" vertical="top"/>
    </xf>
    <xf numFmtId="0" fontId="0" fillId="33" borderId="0" xfId="0" applyFill="1">
      <alignment vertical="center"/>
    </xf>
    <xf numFmtId="0" fontId="24" fillId="0" borderId="10" xfId="0" applyFont="1" applyBorder="1" applyAlignment="1">
      <alignment horizontal="center" vertical="top"/>
    </xf>
    <xf numFmtId="0" fontId="19" fillId="0" borderId="0" xfId="0" applyFont="1" applyAlignment="1"/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C03E-B8EB-4CF2-BA39-1C56D22E68EE}">
  <dimension ref="A1:O16"/>
  <sheetViews>
    <sheetView workbookViewId="0">
      <selection activeCell="J34" sqref="J34"/>
    </sheetView>
  </sheetViews>
  <sheetFormatPr defaultRowHeight="14.15" x14ac:dyDescent="0.35"/>
  <cols>
    <col min="1" max="1" width="45.78515625" bestFit="1" customWidth="1"/>
    <col min="2" max="8" width="0" hidden="1" customWidth="1"/>
  </cols>
  <sheetData>
    <row r="1" spans="1:15" x14ac:dyDescent="0.35">
      <c r="A1" s="5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x14ac:dyDescent="0.35">
      <c r="A2" s="1"/>
      <c r="B2" s="4" t="s">
        <v>20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</row>
    <row r="3" spans="1:15" hidden="1" x14ac:dyDescent="0.35">
      <c r="A3" s="4" t="s">
        <v>20</v>
      </c>
      <c r="B3" s="1">
        <v>0</v>
      </c>
      <c r="C3" s="1">
        <v>-3.4228286346258213E-2</v>
      </c>
      <c r="D3" s="1">
        <v>-1.524768427682595E-2</v>
      </c>
      <c r="E3" s="1">
        <v>-4.9030381565576757E-2</v>
      </c>
      <c r="F3" s="1">
        <v>-3.8827464806286023E-2</v>
      </c>
      <c r="G3" s="1">
        <v>-2.0946441688448478E-2</v>
      </c>
      <c r="H3" s="1">
        <v>-1.3025221868430701E-2</v>
      </c>
      <c r="I3" s="1">
        <v>-3.3504262283786231E-2</v>
      </c>
      <c r="J3" s="1">
        <v>-1.0625140289771341E-2</v>
      </c>
      <c r="K3" s="1">
        <v>-6.1917478149653114E-3</v>
      </c>
      <c r="L3" s="1">
        <v>1.7030270825942741E-3</v>
      </c>
      <c r="M3" s="1">
        <v>-2.0502247195802138E-3</v>
      </c>
      <c r="N3" s="1">
        <v>1.2131934585614119E-3</v>
      </c>
    </row>
    <row r="4" spans="1:15" hidden="1" x14ac:dyDescent="0.35">
      <c r="A4" s="4" t="s">
        <v>7</v>
      </c>
      <c r="B4" s="1">
        <v>-3.4228286346258213E-2</v>
      </c>
      <c r="C4" s="1">
        <v>0</v>
      </c>
      <c r="D4" s="1">
        <v>3.728903076449545E-3</v>
      </c>
      <c r="E4" s="1">
        <v>1.8997023708272321E-2</v>
      </c>
      <c r="F4" s="1">
        <v>-1.7274649941899738E-2</v>
      </c>
      <c r="G4" s="1">
        <v>4.1408074503244382E-3</v>
      </c>
      <c r="H4" s="1">
        <v>6.4008532294679739E-3</v>
      </c>
      <c r="I4" s="1">
        <v>3.8386414560115881E-3</v>
      </c>
      <c r="J4" s="1">
        <v>7.1218427876259128E-4</v>
      </c>
      <c r="K4" s="1">
        <v>-1.561967607319127E-5</v>
      </c>
      <c r="L4" s="1">
        <v>-1.0460288202136651E-3</v>
      </c>
      <c r="M4" s="1">
        <v>-9.5625083215548229E-5</v>
      </c>
      <c r="N4" s="1">
        <v>-7.8954199146199656E-5</v>
      </c>
    </row>
    <row r="5" spans="1:15" hidden="1" x14ac:dyDescent="0.35">
      <c r="A5" s="4" t="s">
        <v>8</v>
      </c>
      <c r="B5" s="1">
        <v>-1.524768427682595E-2</v>
      </c>
      <c r="C5" s="1">
        <v>3.728903076449545E-3</v>
      </c>
      <c r="D5" s="1">
        <v>0</v>
      </c>
      <c r="E5" s="1">
        <v>1.248238482321805E-2</v>
      </c>
      <c r="F5" s="1">
        <v>-4.9990835645994918E-3</v>
      </c>
      <c r="G5" s="1">
        <v>4.3712473779446174E-3</v>
      </c>
      <c r="H5" s="1">
        <v>4.101570458828448E-3</v>
      </c>
      <c r="I5" s="1">
        <v>3.39255930029998E-3</v>
      </c>
      <c r="J5" s="1">
        <v>6.6570411932567936E-4</v>
      </c>
      <c r="K5" s="1">
        <v>9.3789419349288631E-4</v>
      </c>
      <c r="L5" s="1">
        <v>1.0802075125959309E-4</v>
      </c>
      <c r="M5" s="1">
        <v>-6.9621611208546617E-4</v>
      </c>
      <c r="N5" s="1">
        <v>-3.7220874587282087E-4</v>
      </c>
    </row>
    <row r="6" spans="1:15" hidden="1" x14ac:dyDescent="0.35">
      <c r="A6" s="4" t="s">
        <v>9</v>
      </c>
      <c r="B6" s="1">
        <v>-4.9030381565576757E-2</v>
      </c>
      <c r="C6" s="1">
        <v>1.8997023708272321E-2</v>
      </c>
      <c r="D6" s="1">
        <v>1.248238482321805E-2</v>
      </c>
      <c r="E6" s="1">
        <v>0</v>
      </c>
      <c r="F6" s="1">
        <v>3.474692005402011E-3</v>
      </c>
      <c r="G6" s="1">
        <v>6.6225157750010267E-3</v>
      </c>
      <c r="H6" s="1">
        <v>2.9948764903960931E-3</v>
      </c>
      <c r="I6" s="1">
        <v>4.3511869394400361E-3</v>
      </c>
      <c r="J6" s="1">
        <v>2.776918056081209E-4</v>
      </c>
      <c r="K6" s="1">
        <v>-1.431912800568042E-3</v>
      </c>
      <c r="L6" s="1">
        <v>-1.054177886827437E-4</v>
      </c>
      <c r="M6" s="1">
        <v>-1.8786619915024051E-4</v>
      </c>
      <c r="N6" s="1">
        <v>-2.9695438103638288E-4</v>
      </c>
    </row>
    <row r="7" spans="1:15" hidden="1" x14ac:dyDescent="0.35">
      <c r="A7" s="4" t="s">
        <v>10</v>
      </c>
      <c r="B7" s="1">
        <v>-3.8827464806286023E-2</v>
      </c>
      <c r="C7" s="1">
        <v>-1.7274649941899738E-2</v>
      </c>
      <c r="D7" s="1">
        <v>-4.9990835645994918E-3</v>
      </c>
      <c r="E7" s="1">
        <v>3.474692005402011E-3</v>
      </c>
      <c r="F7" s="1">
        <v>0</v>
      </c>
      <c r="G7" s="1">
        <v>1.5604334266571881E-3</v>
      </c>
      <c r="H7" s="1">
        <v>2.466767053310945E-3</v>
      </c>
      <c r="I7" s="1">
        <v>2.1694827214467291E-3</v>
      </c>
      <c r="J7" s="1">
        <v>1.757433870759793E-4</v>
      </c>
      <c r="K7" s="1">
        <v>-2.086514290344008E-4</v>
      </c>
      <c r="L7" s="1">
        <v>1.779628343167048E-4</v>
      </c>
      <c r="M7" s="1">
        <v>-3.9536846518108099E-4</v>
      </c>
      <c r="N7" s="1">
        <v>-5.2470254395222062E-5</v>
      </c>
    </row>
    <row r="8" spans="1:15" hidden="1" x14ac:dyDescent="0.35">
      <c r="A8" s="4" t="s">
        <v>11</v>
      </c>
      <c r="B8" s="1">
        <v>-2.0946441688448478E-2</v>
      </c>
      <c r="C8" s="1">
        <v>4.1408074503244382E-3</v>
      </c>
      <c r="D8" s="1">
        <v>4.3712473779446174E-3</v>
      </c>
      <c r="E8" s="1">
        <v>6.6225157750010267E-3</v>
      </c>
      <c r="F8" s="1">
        <v>1.5604334266571881E-3</v>
      </c>
      <c r="G8" s="1">
        <v>0</v>
      </c>
      <c r="H8" s="1">
        <v>-1.243447893838978E-3</v>
      </c>
      <c r="I8" s="1">
        <v>1.2129666447835459E-4</v>
      </c>
      <c r="J8" s="1">
        <v>-4.6990156011467968E-4</v>
      </c>
      <c r="K8" s="1">
        <v>-7.5939661205654463E-4</v>
      </c>
      <c r="L8" s="1">
        <v>1.9172293955449569E-4</v>
      </c>
      <c r="M8" s="1">
        <v>1.7111412487102109E-4</v>
      </c>
      <c r="N8" s="1">
        <v>-2.237234787174351E-4</v>
      </c>
    </row>
    <row r="9" spans="1:15" hidden="1" x14ac:dyDescent="0.35">
      <c r="A9" s="4" t="s">
        <v>12</v>
      </c>
      <c r="B9" s="1">
        <v>-1.3025221868430701E-2</v>
      </c>
      <c r="C9" s="1">
        <v>6.4008532294679739E-3</v>
      </c>
      <c r="D9" s="1">
        <v>4.101570458828448E-3</v>
      </c>
      <c r="E9" s="1">
        <v>2.9948764903960931E-3</v>
      </c>
      <c r="F9" s="1">
        <v>2.466767053310945E-3</v>
      </c>
      <c r="G9" s="1">
        <v>-1.243447893838978E-3</v>
      </c>
      <c r="H9" s="1">
        <v>0</v>
      </c>
      <c r="I9" s="1">
        <v>1.3843714096145E-3</v>
      </c>
      <c r="J9" s="1">
        <v>-4.2885316107331073E-5</v>
      </c>
      <c r="K9" s="1">
        <v>-9.7389571446640239E-4</v>
      </c>
      <c r="L9" s="1">
        <v>1.8374693467648191E-5</v>
      </c>
      <c r="M9" s="1">
        <v>3.4805166116651259E-4</v>
      </c>
      <c r="N9" s="1">
        <v>1.3392575114214549E-4</v>
      </c>
    </row>
    <row r="10" spans="1:15" x14ac:dyDescent="0.35">
      <c r="A10" s="4" t="s">
        <v>13</v>
      </c>
      <c r="B10" s="1">
        <v>-3.3504262283786231E-2</v>
      </c>
      <c r="C10" s="1">
        <v>3.8386414560115881E-3</v>
      </c>
      <c r="D10" s="1">
        <v>3.39255930029998E-3</v>
      </c>
      <c r="E10" s="1">
        <v>4.3511869394400361E-3</v>
      </c>
      <c r="F10" s="1">
        <v>2.1694827214467291E-3</v>
      </c>
      <c r="G10" s="1">
        <v>1.2129666447835459E-4</v>
      </c>
      <c r="H10" s="1">
        <v>1.3843714096145E-3</v>
      </c>
      <c r="I10" s="1">
        <v>0</v>
      </c>
      <c r="J10" s="1">
        <v>-1.2814921057300299E-3</v>
      </c>
      <c r="K10" s="1">
        <v>-4.6714391746157009E-4</v>
      </c>
      <c r="L10" s="1">
        <v>-5.1916941646623443E-4</v>
      </c>
      <c r="M10" s="1">
        <v>6.1618392784342071E-5</v>
      </c>
      <c r="N10" s="1">
        <v>-1.054625157761057E-4</v>
      </c>
      <c r="O10">
        <f>(I10+J10+K10+L10+M10+N10)/6</f>
        <v>-3.8527492710826636E-4</v>
      </c>
    </row>
    <row r="11" spans="1:15" x14ac:dyDescent="0.35">
      <c r="A11" s="4" t="s">
        <v>14</v>
      </c>
      <c r="B11" s="1">
        <v>-1.0625140289771341E-2</v>
      </c>
      <c r="C11" s="1">
        <v>7.1218427876259128E-4</v>
      </c>
      <c r="D11" s="1">
        <v>6.6570411932567936E-4</v>
      </c>
      <c r="E11" s="1">
        <v>2.776918056081209E-4</v>
      </c>
      <c r="F11" s="1">
        <v>1.757433870759793E-4</v>
      </c>
      <c r="G11" s="1">
        <v>-4.6990156011467968E-4</v>
      </c>
      <c r="H11" s="1">
        <v>-4.2885316107331073E-5</v>
      </c>
      <c r="I11" s="1">
        <v>-1.2814921057300299E-3</v>
      </c>
      <c r="J11" s="1">
        <v>0</v>
      </c>
      <c r="K11" s="1">
        <v>9.1141976050758454E-4</v>
      </c>
      <c r="L11" s="1">
        <v>-1.002029695736243E-4</v>
      </c>
      <c r="M11" s="1">
        <v>-1.3033223304060459E-4</v>
      </c>
      <c r="N11" s="1">
        <v>-9.9851316779540306E-5</v>
      </c>
      <c r="O11">
        <f t="shared" ref="O11:O15" si="0">(I11+J11+K11+L11+M11+N11)/6</f>
        <v>-1.1674314410270242E-4</v>
      </c>
    </row>
    <row r="12" spans="1:15" x14ac:dyDescent="0.35">
      <c r="A12" s="4" t="s">
        <v>15</v>
      </c>
      <c r="B12" s="1">
        <v>-6.1917478149653114E-3</v>
      </c>
      <c r="C12" s="1">
        <v>-1.561967607319127E-5</v>
      </c>
      <c r="D12" s="1">
        <v>9.3789419349288631E-4</v>
      </c>
      <c r="E12" s="1">
        <v>-1.431912800568042E-3</v>
      </c>
      <c r="F12" s="1">
        <v>-2.086514290344008E-4</v>
      </c>
      <c r="G12" s="1">
        <v>-7.5939661205654463E-4</v>
      </c>
      <c r="H12" s="1">
        <v>-9.7389571446640239E-4</v>
      </c>
      <c r="I12" s="1">
        <v>-4.6714391746157009E-4</v>
      </c>
      <c r="J12" s="1">
        <v>9.1141976050758454E-4</v>
      </c>
      <c r="K12" s="1">
        <v>0</v>
      </c>
      <c r="L12" s="1">
        <v>-1.1084673966899941E-4</v>
      </c>
      <c r="M12" s="1">
        <v>3.206652185975242E-5</v>
      </c>
      <c r="N12" s="1">
        <v>-1.083794373865428E-4</v>
      </c>
      <c r="O12">
        <f t="shared" si="0"/>
        <v>4.285269797503745E-5</v>
      </c>
    </row>
    <row r="13" spans="1:15" x14ac:dyDescent="0.35">
      <c r="A13" s="4" t="s">
        <v>16</v>
      </c>
      <c r="B13" s="1">
        <v>1.7030270825942741E-3</v>
      </c>
      <c r="C13" s="1">
        <v>-1.0460288202136651E-3</v>
      </c>
      <c r="D13" s="1">
        <v>1.0802075125959309E-4</v>
      </c>
      <c r="E13" s="1">
        <v>-1.054177886827437E-4</v>
      </c>
      <c r="F13" s="1">
        <v>1.779628343167048E-4</v>
      </c>
      <c r="G13" s="1">
        <v>1.9172293955449569E-4</v>
      </c>
      <c r="H13" s="1">
        <v>1.8374693467648191E-5</v>
      </c>
      <c r="I13" s="1">
        <v>-5.1916941646623443E-4</v>
      </c>
      <c r="J13" s="1">
        <v>-1.002029695736243E-4</v>
      </c>
      <c r="K13" s="1">
        <v>-1.1084673966899941E-4</v>
      </c>
      <c r="L13" s="1">
        <v>0</v>
      </c>
      <c r="M13" s="1">
        <v>-2.6986384534891171E-4</v>
      </c>
      <c r="N13" s="1">
        <v>2.9396897158632412E-4</v>
      </c>
      <c r="O13">
        <f t="shared" si="0"/>
        <v>-1.1768566657857427E-4</v>
      </c>
    </row>
    <row r="14" spans="1:15" x14ac:dyDescent="0.35">
      <c r="A14" s="4" t="s">
        <v>17</v>
      </c>
      <c r="B14" s="1">
        <v>-2.0502247195802138E-3</v>
      </c>
      <c r="C14" s="1">
        <v>-9.5625083215548229E-5</v>
      </c>
      <c r="D14" s="1">
        <v>-6.9621611208546617E-4</v>
      </c>
      <c r="E14" s="1">
        <v>-1.8786619915024051E-4</v>
      </c>
      <c r="F14" s="1">
        <v>-3.9536846518108099E-4</v>
      </c>
      <c r="G14" s="1">
        <v>1.7111412487102109E-4</v>
      </c>
      <c r="H14" s="1">
        <v>3.4805166116651259E-4</v>
      </c>
      <c r="I14" s="1">
        <v>6.1618392784342071E-5</v>
      </c>
      <c r="J14" s="1">
        <v>-1.3033223304060459E-4</v>
      </c>
      <c r="K14" s="1">
        <v>3.206652185975242E-5</v>
      </c>
      <c r="L14" s="1">
        <v>-2.6986384534891171E-4</v>
      </c>
      <c r="M14" s="1">
        <v>0</v>
      </c>
      <c r="N14" s="1">
        <v>9.931657614154519E-6</v>
      </c>
      <c r="O14">
        <f t="shared" si="0"/>
        <v>-4.9429917688544551E-5</v>
      </c>
    </row>
    <row r="15" spans="1:15" x14ac:dyDescent="0.35">
      <c r="A15" s="4" t="s">
        <v>18</v>
      </c>
      <c r="B15" s="1">
        <v>1.2131934585614119E-3</v>
      </c>
      <c r="C15" s="1">
        <v>-7.8954199146199656E-5</v>
      </c>
      <c r="D15" s="1">
        <v>-3.7220874587282087E-4</v>
      </c>
      <c r="E15" s="1">
        <v>-2.9695438103638288E-4</v>
      </c>
      <c r="F15" s="1">
        <v>-5.2470254395222062E-5</v>
      </c>
      <c r="G15" s="1">
        <v>-2.237234787174351E-4</v>
      </c>
      <c r="H15" s="1">
        <v>1.3392575114214549E-4</v>
      </c>
      <c r="I15" s="1">
        <v>-1.054625157761057E-4</v>
      </c>
      <c r="J15" s="1">
        <v>-9.9851316779540306E-5</v>
      </c>
      <c r="K15" s="1">
        <v>-1.083794373865428E-4</v>
      </c>
      <c r="L15" s="1">
        <v>2.9396897158632412E-4</v>
      </c>
      <c r="M15" s="1">
        <v>9.931657614154519E-6</v>
      </c>
      <c r="N15" s="1">
        <v>0</v>
      </c>
      <c r="O15">
        <f t="shared" si="0"/>
        <v>-1.6321067902850284E-6</v>
      </c>
    </row>
    <row r="16" spans="1:15" x14ac:dyDescent="0.35">
      <c r="I16" s="1">
        <f>AVERAGE(I10:I15)</f>
        <v>-3.8527492710826636E-4</v>
      </c>
      <c r="J16" s="1">
        <f t="shared" ref="J16:N16" si="1">AVERAGE(J10:J15)</f>
        <v>-1.1674314410270242E-4</v>
      </c>
      <c r="K16" s="1">
        <f t="shared" si="1"/>
        <v>4.285269797503745E-5</v>
      </c>
      <c r="L16" s="1">
        <f t="shared" si="1"/>
        <v>-1.1768566657857427E-4</v>
      </c>
      <c r="M16" s="1">
        <f t="shared" si="1"/>
        <v>-4.9429917688544551E-5</v>
      </c>
      <c r="N16" s="1">
        <f t="shared" si="1"/>
        <v>-1.6321067902850284E-6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8105-73A1-40E9-9927-2E5DF34C320A}">
  <dimension ref="A1:G15"/>
  <sheetViews>
    <sheetView workbookViewId="0">
      <selection activeCell="B27" sqref="B27"/>
    </sheetView>
  </sheetViews>
  <sheetFormatPr defaultRowHeight="14.15" x14ac:dyDescent="0.35"/>
  <cols>
    <col min="1" max="1" width="45.78515625" bestFit="1" customWidth="1"/>
  </cols>
  <sheetData>
    <row r="1" spans="1:7" x14ac:dyDescent="0.35">
      <c r="A1" s="1"/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 x14ac:dyDescent="0.35">
      <c r="A2" s="2" t="s">
        <v>13</v>
      </c>
      <c r="B2" s="1">
        <v>-3.7495964155890828E-2</v>
      </c>
      <c r="C2" s="1">
        <v>-7.6592859765604496E-2</v>
      </c>
      <c r="D2" s="1">
        <v>3.7084027884497439E-2</v>
      </c>
      <c r="E2" s="1">
        <v>2.6583792309424929E-2</v>
      </c>
      <c r="F2" s="1">
        <v>-0.2412608030770752</v>
      </c>
      <c r="G2" s="1">
        <v>3.2080856856254968E-2</v>
      </c>
    </row>
    <row r="3" spans="1:7" x14ac:dyDescent="0.35">
      <c r="A3" s="2" t="s">
        <v>14</v>
      </c>
      <c r="B3" s="1">
        <v>-2.5688989471408491E-2</v>
      </c>
      <c r="C3" s="1">
        <v>-6.2292248133812407E-2</v>
      </c>
      <c r="D3" s="1">
        <v>5.4341169609976991E-3</v>
      </c>
      <c r="E3" s="1">
        <v>3.3625085720578332E-2</v>
      </c>
      <c r="F3" s="1">
        <v>-0.2154183871285254</v>
      </c>
      <c r="G3" s="1">
        <v>-7.2465743396741391E-3</v>
      </c>
    </row>
    <row r="4" spans="1:7" x14ac:dyDescent="0.35">
      <c r="A4" s="2" t="s">
        <v>15</v>
      </c>
      <c r="B4" s="1">
        <v>-3.6542842124690222E-2</v>
      </c>
      <c r="C4" s="1">
        <v>-7.2731375273449764E-2</v>
      </c>
      <c r="D4" s="1">
        <v>4.1750009351387743E-2</v>
      </c>
      <c r="E4" s="1">
        <v>2.1415923157853411E-2</v>
      </c>
      <c r="F4" s="1">
        <v>-0.16544428157915</v>
      </c>
      <c r="G4" s="1">
        <v>6.3185549907488966E-2</v>
      </c>
    </row>
    <row r="5" spans="1:7" x14ac:dyDescent="0.35">
      <c r="A5" s="2" t="s">
        <v>16</v>
      </c>
      <c r="B5" s="1">
        <v>-8.6198568896759444E-3</v>
      </c>
      <c r="C5" s="1">
        <v>-2.7033534208351161E-2</v>
      </c>
      <c r="D5" s="1">
        <v>5.2765178166824987E-2</v>
      </c>
      <c r="E5" s="1">
        <v>-2.3856382323128901E-3</v>
      </c>
      <c r="F5" s="1">
        <v>-0.1848347993441741</v>
      </c>
      <c r="G5" s="1">
        <v>3.0962011235946201E-2</v>
      </c>
    </row>
    <row r="6" spans="1:7" x14ac:dyDescent="0.35">
      <c r="A6" s="2" t="s">
        <v>17</v>
      </c>
      <c r="B6" s="1">
        <v>6.8867763405043483E-2</v>
      </c>
      <c r="C6" s="1">
        <v>3.1610037519442712E-2</v>
      </c>
      <c r="D6" s="1">
        <v>4.6315322712494257E-2</v>
      </c>
      <c r="E6" s="1">
        <v>-0.1003562146797817</v>
      </c>
      <c r="F6" s="1">
        <v>-0.1568701289030176</v>
      </c>
      <c r="G6" s="1">
        <v>2.459827077622077E-2</v>
      </c>
    </row>
    <row r="7" spans="1:7" x14ac:dyDescent="0.35">
      <c r="A7" s="2" t="s">
        <v>18</v>
      </c>
      <c r="B7" s="1">
        <v>-2.86795693948338E-2</v>
      </c>
      <c r="C7" s="1">
        <v>-8.1259218429232435E-2</v>
      </c>
      <c r="D7" s="1">
        <v>-1.0849379065937951E-2</v>
      </c>
      <c r="E7" s="1">
        <v>3.6789437826313533E-2</v>
      </c>
      <c r="F7" s="1">
        <v>-0.12169330097713341</v>
      </c>
      <c r="G7" s="1">
        <v>3.5645949408715683E-2</v>
      </c>
    </row>
    <row r="9" spans="1:7" x14ac:dyDescent="0.35">
      <c r="B9" t="s">
        <v>19</v>
      </c>
      <c r="C9" t="s">
        <v>1</v>
      </c>
      <c r="D9" t="s">
        <v>2</v>
      </c>
    </row>
    <row r="10" spans="1:7" x14ac:dyDescent="0.35">
      <c r="A10" s="2" t="s">
        <v>13</v>
      </c>
      <c r="B10" s="1">
        <f>B2</f>
        <v>-3.7495964155890828E-2</v>
      </c>
      <c r="C10">
        <f>C2</f>
        <v>-7.6592859765604496E-2</v>
      </c>
      <c r="D10">
        <f>G2</f>
        <v>3.2080856856254968E-2</v>
      </c>
    </row>
    <row r="11" spans="1:7" x14ac:dyDescent="0.35">
      <c r="A11" s="2" t="s">
        <v>14</v>
      </c>
      <c r="B11" s="1">
        <f t="shared" ref="B11:B15" si="0">B3</f>
        <v>-2.5688989471408491E-2</v>
      </c>
      <c r="C11">
        <f t="shared" ref="C11:C15" si="1">C3</f>
        <v>-6.2292248133812407E-2</v>
      </c>
      <c r="D11">
        <f t="shared" ref="D11:D15" si="2">G3</f>
        <v>-7.2465743396741391E-3</v>
      </c>
    </row>
    <row r="12" spans="1:7" x14ac:dyDescent="0.35">
      <c r="A12" s="2" t="s">
        <v>15</v>
      </c>
      <c r="B12" s="1">
        <f t="shared" si="0"/>
        <v>-3.6542842124690222E-2</v>
      </c>
      <c r="C12">
        <f t="shared" si="1"/>
        <v>-7.2731375273449764E-2</v>
      </c>
      <c r="D12">
        <f t="shared" si="2"/>
        <v>6.3185549907488966E-2</v>
      </c>
    </row>
    <row r="13" spans="1:7" x14ac:dyDescent="0.35">
      <c r="A13" s="2" t="s">
        <v>16</v>
      </c>
      <c r="B13" s="1">
        <f t="shared" si="0"/>
        <v>-8.6198568896759444E-3</v>
      </c>
      <c r="C13">
        <f t="shared" si="1"/>
        <v>-2.7033534208351161E-2</v>
      </c>
      <c r="D13">
        <f t="shared" si="2"/>
        <v>3.0962011235946201E-2</v>
      </c>
    </row>
    <row r="14" spans="1:7" x14ac:dyDescent="0.35">
      <c r="A14" s="2" t="s">
        <v>17</v>
      </c>
      <c r="B14" s="1">
        <f t="shared" si="0"/>
        <v>6.8867763405043483E-2</v>
      </c>
      <c r="C14">
        <f t="shared" si="1"/>
        <v>3.1610037519442712E-2</v>
      </c>
      <c r="D14">
        <f t="shared" si="2"/>
        <v>2.459827077622077E-2</v>
      </c>
    </row>
    <row r="15" spans="1:7" x14ac:dyDescent="0.35">
      <c r="A15" s="2" t="s">
        <v>18</v>
      </c>
      <c r="B15" s="1">
        <f t="shared" si="0"/>
        <v>-2.86795693948338E-2</v>
      </c>
      <c r="C15">
        <f t="shared" si="1"/>
        <v>-8.1259218429232435E-2</v>
      </c>
      <c r="D15">
        <f t="shared" si="2"/>
        <v>3.5645949408715683E-2</v>
      </c>
    </row>
  </sheetData>
  <phoneticPr fontId="1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E18C-5F57-4452-B0AF-6D3D03667308}">
  <dimension ref="A1:O17"/>
  <sheetViews>
    <sheetView tabSelected="1" workbookViewId="0">
      <selection activeCell="G15" sqref="G15"/>
    </sheetView>
  </sheetViews>
  <sheetFormatPr defaultRowHeight="14.15" x14ac:dyDescent="0.35"/>
  <cols>
    <col min="1" max="1" width="15.78515625" customWidth="1"/>
    <col min="2" max="4" width="8.85546875" customWidth="1"/>
    <col min="5" max="5" width="12.140625" customWidth="1"/>
    <col min="6" max="6" width="8.85546875" customWidth="1"/>
  </cols>
  <sheetData>
    <row r="1" spans="1:15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J1" s="3" t="s">
        <v>0</v>
      </c>
      <c r="K1" t="s">
        <v>1</v>
      </c>
      <c r="L1" t="s">
        <v>2</v>
      </c>
      <c r="M1" t="s">
        <v>3</v>
      </c>
      <c r="N1" s="3" t="s">
        <v>4</v>
      </c>
      <c r="O1" t="s">
        <v>5</v>
      </c>
    </row>
    <row r="2" spans="1:15" x14ac:dyDescent="0.35">
      <c r="A2" t="s">
        <v>13</v>
      </c>
      <c r="B2">
        <v>-3.7495964155890828E-2</v>
      </c>
      <c r="C2">
        <v>-7.6592859765604496E-2</v>
      </c>
      <c r="D2">
        <v>3.2080856856254968E-2</v>
      </c>
      <c r="E2" s="6">
        <v>-3.8527492710826636E-4</v>
      </c>
      <c r="F2">
        <v>-0.78489399999999998</v>
      </c>
      <c r="G2">
        <v>2.7067999999999998E-2</v>
      </c>
      <c r="I2" t="s">
        <v>13</v>
      </c>
      <c r="J2">
        <f>RANK(B2,$B$2:$B$7,1)</f>
        <v>1</v>
      </c>
      <c r="K2">
        <f>RANK(C2,$C$2:$C$7)</f>
        <v>5</v>
      </c>
      <c r="L2">
        <f>RANK(D2,$D$2:$D$7)</f>
        <v>3</v>
      </c>
      <c r="M2">
        <v>1</v>
      </c>
      <c r="N2">
        <f>RANK(F2,$F$2:$F$7,1)</f>
        <v>6</v>
      </c>
      <c r="O2">
        <f>RANK(G2,$G$2:$G$7)</f>
        <v>1</v>
      </c>
    </row>
    <row r="3" spans="1:15" x14ac:dyDescent="0.35">
      <c r="A3" t="s">
        <v>14</v>
      </c>
      <c r="B3">
        <v>-2.5688989471408491E-2</v>
      </c>
      <c r="C3">
        <v>-6.2292248133812407E-2</v>
      </c>
      <c r="D3">
        <v>-7.2465743396741391E-3</v>
      </c>
      <c r="E3" s="6">
        <v>-1.1674314410270242E-4</v>
      </c>
      <c r="F3">
        <v>-0.86787199999999998</v>
      </c>
      <c r="G3">
        <v>6.0179999999999999E-3</v>
      </c>
      <c r="I3" t="s">
        <v>14</v>
      </c>
      <c r="J3">
        <f>RANK(B3,$B$2:$B$7,1)</f>
        <v>4</v>
      </c>
      <c r="K3">
        <f>RANK(C3,$C$2:$C$7)</f>
        <v>3</v>
      </c>
      <c r="L3">
        <f>RANK(D3,$D$2:$D$7)</f>
        <v>6</v>
      </c>
      <c r="M3">
        <v>3</v>
      </c>
      <c r="N3">
        <f t="shared" ref="N3:P7" si="0">RANK(F3,$F$2:$F$7,1)</f>
        <v>3</v>
      </c>
      <c r="O3">
        <f>RANK(G3,$G$2:$G$7)</f>
        <v>5</v>
      </c>
    </row>
    <row r="4" spans="1:15" x14ac:dyDescent="0.35">
      <c r="A4" t="s">
        <v>15</v>
      </c>
      <c r="B4">
        <v>-3.6542842124690222E-2</v>
      </c>
      <c r="C4">
        <v>-7.2731375273449764E-2</v>
      </c>
      <c r="D4">
        <v>6.3185549907488966E-2</v>
      </c>
      <c r="E4" s="6">
        <v>4.285269797503745E-5</v>
      </c>
      <c r="F4">
        <v>-0.83595699999999995</v>
      </c>
      <c r="G4">
        <v>1.3393E-2</v>
      </c>
      <c r="I4" t="s">
        <v>15</v>
      </c>
      <c r="J4">
        <f>RANK(B4,$B$2:$B$7,1)</f>
        <v>2</v>
      </c>
      <c r="K4">
        <f>RANK(C4,$C$2:$C$7)</f>
        <v>4</v>
      </c>
      <c r="L4">
        <f>RANK(D4,$D$2:$D$7)</f>
        <v>1</v>
      </c>
      <c r="M4">
        <v>6</v>
      </c>
      <c r="N4">
        <f t="shared" si="0"/>
        <v>5</v>
      </c>
      <c r="O4">
        <f t="shared" ref="O3:O7" si="1">RANK(G4,$G$2:$G$7)</f>
        <v>2</v>
      </c>
    </row>
    <row r="5" spans="1:15" x14ac:dyDescent="0.35">
      <c r="A5" t="s">
        <v>16</v>
      </c>
      <c r="B5">
        <v>-8.6198568896759444E-3</v>
      </c>
      <c r="C5">
        <v>-2.7033534208351161E-2</v>
      </c>
      <c r="D5">
        <v>3.0962011235946201E-2</v>
      </c>
      <c r="E5" s="6">
        <v>-1.1768566657857427E-4</v>
      </c>
      <c r="F5">
        <v>-0.86489400000000005</v>
      </c>
      <c r="G5">
        <v>9.1570000000000002E-3</v>
      </c>
      <c r="I5" t="s">
        <v>16</v>
      </c>
      <c r="J5">
        <f>RANK(B5,$B$2:$B$7,1)</f>
        <v>5</v>
      </c>
      <c r="K5">
        <f>RANK(C5,$C$2:$C$7)</f>
        <v>2</v>
      </c>
      <c r="L5">
        <f>RANK(D5,$D$2:$D$7)</f>
        <v>4</v>
      </c>
      <c r="M5">
        <v>2</v>
      </c>
      <c r="N5">
        <f t="shared" si="0"/>
        <v>4</v>
      </c>
      <c r="O5">
        <f>RANK(G5,$G$2:$G$7)</f>
        <v>3</v>
      </c>
    </row>
    <row r="6" spans="1:15" x14ac:dyDescent="0.35">
      <c r="A6" t="s">
        <v>17</v>
      </c>
      <c r="B6">
        <v>6.8867763405043483E-2</v>
      </c>
      <c r="C6">
        <v>3.1610037519442712E-2</v>
      </c>
      <c r="D6">
        <v>2.459827077622077E-2</v>
      </c>
      <c r="E6" s="6">
        <v>-4.9429917688544551E-5</v>
      </c>
      <c r="F6">
        <v>-0.87893600000000005</v>
      </c>
      <c r="G6">
        <v>6.5799999999999999E-3</v>
      </c>
      <c r="I6" t="s">
        <v>17</v>
      </c>
      <c r="J6">
        <f>RANK(B6,$B$2:$B$7,1)</f>
        <v>6</v>
      </c>
      <c r="K6">
        <f>RANK(C6,$C$2:$C$7)</f>
        <v>1</v>
      </c>
      <c r="L6">
        <f>RANK(D6,$D$2:$D$7)</f>
        <v>5</v>
      </c>
      <c r="M6">
        <v>4</v>
      </c>
      <c r="N6">
        <f t="shared" si="0"/>
        <v>2</v>
      </c>
      <c r="O6">
        <f t="shared" si="1"/>
        <v>4</v>
      </c>
    </row>
    <row r="7" spans="1:15" x14ac:dyDescent="0.35">
      <c r="A7" t="s">
        <v>18</v>
      </c>
      <c r="B7">
        <v>-2.86795693948338E-2</v>
      </c>
      <c r="C7">
        <v>-8.1259218429232435E-2</v>
      </c>
      <c r="D7">
        <v>3.5645949408715683E-2</v>
      </c>
      <c r="E7" s="6">
        <v>-1.6321067902850284E-6</v>
      </c>
      <c r="F7">
        <v>-0.89031899999999997</v>
      </c>
      <c r="G7">
        <v>4.5799999999999999E-3</v>
      </c>
      <c r="I7" t="s">
        <v>18</v>
      </c>
      <c r="J7">
        <f>RANK(B7,$B$2:$B$7,1)</f>
        <v>3</v>
      </c>
      <c r="K7">
        <f>RANK(C7,$C$2:$C$7)</f>
        <v>6</v>
      </c>
      <c r="L7">
        <f>RANK(D7,$D$2:$D$7)</f>
        <v>2</v>
      </c>
      <c r="M7">
        <v>5</v>
      </c>
      <c r="N7">
        <f t="shared" si="0"/>
        <v>1</v>
      </c>
      <c r="O7">
        <f t="shared" si="1"/>
        <v>6</v>
      </c>
    </row>
    <row r="9" spans="1:15" x14ac:dyDescent="0.35"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</row>
    <row r="10" spans="1:15" x14ac:dyDescent="0.35">
      <c r="A10" t="s">
        <v>27</v>
      </c>
      <c r="B10" t="s">
        <v>28</v>
      </c>
      <c r="C10" t="s">
        <v>29</v>
      </c>
      <c r="D10" t="s">
        <v>30</v>
      </c>
      <c r="E10" t="s">
        <v>55</v>
      </c>
      <c r="F10" t="s">
        <v>31</v>
      </c>
      <c r="G10" t="s">
        <v>61</v>
      </c>
    </row>
    <row r="11" spans="1:15" x14ac:dyDescent="0.35">
      <c r="A11" t="s">
        <v>14</v>
      </c>
      <c r="B11" t="s">
        <v>32</v>
      </c>
      <c r="C11" t="s">
        <v>33</v>
      </c>
      <c r="D11" t="s">
        <v>34</v>
      </c>
      <c r="E11" t="s">
        <v>56</v>
      </c>
      <c r="F11" t="s">
        <v>35</v>
      </c>
      <c r="G11" t="s">
        <v>62</v>
      </c>
    </row>
    <row r="12" spans="1:15" x14ac:dyDescent="0.35">
      <c r="A12" t="s">
        <v>36</v>
      </c>
      <c r="B12" t="s">
        <v>37</v>
      </c>
      <c r="C12" t="s">
        <v>38</v>
      </c>
      <c r="D12" t="s">
        <v>39</v>
      </c>
      <c r="E12" t="s">
        <v>57</v>
      </c>
      <c r="F12" t="s">
        <v>40</v>
      </c>
      <c r="G12" t="s">
        <v>63</v>
      </c>
    </row>
    <row r="13" spans="1:15" x14ac:dyDescent="0.35">
      <c r="A13" t="s">
        <v>41</v>
      </c>
      <c r="B13" t="s">
        <v>42</v>
      </c>
      <c r="C13" t="s">
        <v>43</v>
      </c>
      <c r="D13" t="s">
        <v>44</v>
      </c>
      <c r="E13" t="s">
        <v>58</v>
      </c>
      <c r="F13" t="s">
        <v>45</v>
      </c>
      <c r="G13" t="s">
        <v>64</v>
      </c>
    </row>
    <row r="14" spans="1:15" x14ac:dyDescent="0.35">
      <c r="A14" t="s">
        <v>17</v>
      </c>
      <c r="B14" t="s">
        <v>46</v>
      </c>
      <c r="C14" t="s">
        <v>47</v>
      </c>
      <c r="D14" t="s">
        <v>48</v>
      </c>
      <c r="E14" t="s">
        <v>59</v>
      </c>
      <c r="F14" t="s">
        <v>49</v>
      </c>
      <c r="G14" t="s">
        <v>65</v>
      </c>
    </row>
    <row r="15" spans="1:15" x14ac:dyDescent="0.35">
      <c r="A15" t="s">
        <v>50</v>
      </c>
      <c r="B15" t="s">
        <v>51</v>
      </c>
      <c r="C15" t="s">
        <v>52</v>
      </c>
      <c r="D15" t="s">
        <v>53</v>
      </c>
      <c r="E15" t="s">
        <v>60</v>
      </c>
      <c r="F15" t="s">
        <v>54</v>
      </c>
      <c r="G15" t="s">
        <v>66</v>
      </c>
    </row>
    <row r="17" spans="2:7" x14ac:dyDescent="0.35">
      <c r="B17" t="s">
        <v>21</v>
      </c>
      <c r="C17" t="s">
        <v>23</v>
      </c>
      <c r="D17" t="s">
        <v>22</v>
      </c>
      <c r="E17" t="s">
        <v>24</v>
      </c>
      <c r="F17" t="s">
        <v>25</v>
      </c>
      <c r="G17" t="s">
        <v>26</v>
      </c>
    </row>
  </sheetData>
  <phoneticPr fontId="1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shap interaction</vt:lpstr>
      <vt:lpstr>correlation_matrix</vt:lpstr>
      <vt:lpstr>radar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YM Yang</cp:lastModifiedBy>
  <dcterms:created xsi:type="dcterms:W3CDTF">2024-10-21T12:10:52Z</dcterms:created>
  <dcterms:modified xsi:type="dcterms:W3CDTF">2026-10-26T09:32:18Z</dcterms:modified>
</cp:coreProperties>
</file>