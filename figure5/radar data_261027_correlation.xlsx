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Experiment\11Water\F_Picture\Figure5\20241124_Figure5\"/>
    </mc:Choice>
  </mc:AlternateContent>
  <xr:revisionPtr revIDLastSave="0" documentId="13_ncr:1_{A45823C4-8916-45BC-8664-78A602976567}" xr6:coauthVersionLast="47" xr6:coauthVersionMax="47" xr10:uidLastSave="{00000000-0000-0000-0000-000000000000}"/>
  <bookViews>
    <workbookView xWindow="-103" yWindow="-103" windowWidth="22149" windowHeight="13200" activeTab="2" xr2:uid="{CDEAD128-6063-4CAB-B8B8-1D3567FE0D0C}"/>
  </bookViews>
  <sheets>
    <sheet name="shap interaction" sheetId="2" r:id="rId1"/>
    <sheet name="correlation_matrix" sheetId="3" r:id="rId2"/>
    <sheet name="radar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C26" i="3"/>
  <c r="D26" i="3"/>
  <c r="E26" i="3"/>
  <c r="F26" i="3"/>
  <c r="G26" i="3"/>
  <c r="B26" i="3"/>
  <c r="O3" i="1"/>
  <c r="O5" i="1"/>
  <c r="O11" i="2"/>
  <c r="O12" i="2"/>
  <c r="O13" i="2"/>
  <c r="O14" i="2"/>
  <c r="O15" i="2"/>
  <c r="O10" i="2"/>
  <c r="J16" i="2"/>
  <c r="K16" i="2"/>
  <c r="L16" i="2"/>
  <c r="M16" i="2"/>
  <c r="N16" i="2"/>
  <c r="I16" i="2"/>
  <c r="N3" i="1"/>
  <c r="N4" i="1"/>
  <c r="N5" i="1"/>
  <c r="N6" i="1"/>
  <c r="N7" i="1"/>
  <c r="N2" i="1"/>
  <c r="J3" i="1"/>
  <c r="J4" i="1"/>
  <c r="J5" i="1"/>
  <c r="J6" i="1"/>
  <c r="J7" i="1"/>
  <c r="J2" i="1"/>
  <c r="O4" i="1"/>
  <c r="O6" i="1"/>
  <c r="O7" i="1"/>
  <c r="O2" i="1"/>
  <c r="L3" i="1"/>
  <c r="L4" i="1"/>
  <c r="L5" i="1"/>
  <c r="L6" i="1"/>
  <c r="L7" i="1"/>
  <c r="L2" i="1"/>
  <c r="K3" i="1"/>
  <c r="K4" i="1"/>
  <c r="K5" i="1"/>
  <c r="K6" i="1"/>
  <c r="K7" i="1"/>
  <c r="K2" i="1"/>
  <c r="B11" i="3"/>
  <c r="B12" i="3"/>
  <c r="B13" i="3"/>
  <c r="B14" i="3"/>
  <c r="B15" i="3"/>
  <c r="B10" i="3"/>
  <c r="D11" i="3"/>
  <c r="D12" i="3"/>
  <c r="D13" i="3"/>
  <c r="D14" i="3"/>
  <c r="D15" i="3"/>
  <c r="D10" i="3"/>
  <c r="C11" i="3"/>
  <c r="C12" i="3"/>
  <c r="C13" i="3"/>
  <c r="C14" i="3"/>
  <c r="C15" i="3"/>
  <c r="C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9" authorId="0" shapeId="0" xr:uid="{364E2BE9-86FE-4C95-A6F3-FEF8C531A8E6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倒序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1" authorId="0" shapeId="0" xr:uid="{269619C1-84DD-4DCC-A522-FD06B9255B7D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倒序</t>
        </r>
      </text>
    </comment>
  </commentList>
</comments>
</file>

<file path=xl/sharedStrings.xml><?xml version="1.0" encoding="utf-8"?>
<sst xmlns="http://schemas.openxmlformats.org/spreadsheetml/2006/main" count="144" uniqueCount="68">
  <si>
    <t>Affordable</t>
  </si>
  <si>
    <t>Facilitative</t>
  </si>
  <si>
    <t>Stress relieving</t>
  </si>
  <si>
    <t>Complementary</t>
  </si>
  <si>
    <t>Preventive</t>
  </si>
  <si>
    <t>Prescriptive</t>
  </si>
  <si>
    <t>shap interaction</t>
    <phoneticPr fontId="20" type="noConversion"/>
  </si>
  <si>
    <t>gdp_percapita</t>
  </si>
  <si>
    <t>export</t>
  </si>
  <si>
    <t>population_density</t>
  </si>
  <si>
    <t>rural_population</t>
  </si>
  <si>
    <t>precipitation</t>
  </si>
  <si>
    <t>bws_score</t>
  </si>
  <si>
    <t>Cross-Border Basin Agreements</t>
  </si>
  <si>
    <t>Collaborative River Basin Planning</t>
  </si>
  <si>
    <t>Joint Water Allocation Models</t>
  </si>
  <si>
    <t>Joint Data-Sharing Systems</t>
  </si>
  <si>
    <t>Transboundary Water Quality Standards</t>
  </si>
  <si>
    <t>Coordinated Hydropower Operations</t>
  </si>
  <si>
    <t>Affordable</t>
    <phoneticPr fontId="18" type="noConversion"/>
  </si>
  <si>
    <t>Conflict</t>
  </si>
  <si>
    <t>1st</t>
    <phoneticPr fontId="18" type="noConversion"/>
  </si>
  <si>
    <t xml:space="preserve">3rd </t>
  </si>
  <si>
    <t>2nd</t>
  </si>
  <si>
    <t>4th</t>
    <phoneticPr fontId="18" type="noConversion"/>
  </si>
  <si>
    <t>5th</t>
    <phoneticPr fontId="18" type="noConversion"/>
  </si>
  <si>
    <t>6th</t>
    <phoneticPr fontId="18" type="noConversion"/>
  </si>
  <si>
    <t>Cross-Border Basin Agreements</t>
    <phoneticPr fontId="18" type="noConversion"/>
  </si>
  <si>
    <t>Joint Water Allocation Models</t>
    <phoneticPr fontId="18" type="noConversion"/>
  </si>
  <si>
    <t>Joint Data-Sharing Systems</t>
    <phoneticPr fontId="18" type="noConversion"/>
  </si>
  <si>
    <t>Coordinated Hydropower Operations</t>
    <phoneticPr fontId="18" type="noConversion"/>
  </si>
  <si>
    <t>Water-related cooperation mode "Cross-Border Basin Agreements" has a feature importance of 0.027068, which ranks 1st out of 6 total cooperation modes and belongs to the best MAE group.</t>
    <phoneticPr fontId="18" type="noConversion"/>
  </si>
  <si>
    <t xml:space="preserve">Water-related cooperation mode "Collaborative River Basin Planning" has a feature importance of 0.006018, which ranks 5th out of 6 total cooperation modes and belongs to the best MAE group. </t>
    <phoneticPr fontId="18" type="noConversion"/>
  </si>
  <si>
    <t>Water-related cooperation mode "Joint Water Allocation Models" has a feature importance of 0.013393, which ranks 2nd out of 6 total cooperation modes and belongs to the best MAE group.</t>
    <phoneticPr fontId="18" type="noConversion"/>
  </si>
  <si>
    <t>Water-related cooperation mode "Joint Data-Sharing Systems" has a feature importance of 0.009157, which ranks 3rd out of 6 total cooperation modes and does not belong to the best MAE group.</t>
    <phoneticPr fontId="18" type="noConversion"/>
  </si>
  <si>
    <t>Water-related cooperation mode "Transboundary Water Quality Standards" has a feature importance of 0.00658, which ranks 4th out of 6 total cooperation modes and does not belong to the best MAE group.</t>
    <phoneticPr fontId="18" type="noConversion"/>
  </si>
  <si>
    <t>Water-related cooperation mode "Coordinated Hydropower Operations" has a feature importance of 0.00458, which ranks 6th out of 6 total cooperation modes and does not belong  to the best MAE group.</t>
    <phoneticPr fontId="18" type="noConversion"/>
  </si>
  <si>
    <t>Facilitative</t>
    <phoneticPr fontId="18" type="noConversion"/>
  </si>
  <si>
    <t xml:space="preserve">Water-related cooperation mode "Cross-Border Basin Agreements" has an indicator value of -0.0374959641558908, which ranks 1st out of 6 total cooperation modes. </t>
  </si>
  <si>
    <t xml:space="preserve">Water-related cooperation mode "Cross-Border Basin Agreements" has an indicator value of -0.0765928597656045, which ranks 5th out of 6 total cooperation modes. </t>
  </si>
  <si>
    <t xml:space="preserve">Water-related cooperation mode "Cross-Border Basin Agreements" has an indicator value of 0.032080856856255, which ranks 3rd out of 6 total cooperation modes. </t>
  </si>
  <si>
    <t xml:space="preserve">Water-related cooperation mode "Cross-Border Basin Agreements" has an indicator value of 0.566932854346312, which ranks 1st out of 6 total cooperation modes. </t>
  </si>
  <si>
    <t xml:space="preserve">Water-related cooperation mode "Cross-Border Basin Agreements" has an indicator value of -0.784894, which ranks 6th out of 6 total cooperation modes. </t>
  </si>
  <si>
    <t xml:space="preserve">Water-related cooperation mode "Collaborative River Basin Planning" has an indicator value of -0.0256889894714085, which ranks 4th out of 6 total cooperation modes. </t>
  </si>
  <si>
    <t xml:space="preserve">Water-related cooperation mode "Collaborative River Basin Planning" has an indicator value of -0.0622922481338124, which ranks 3rd out of 6 total cooperation modes. </t>
  </si>
  <si>
    <t xml:space="preserve">Water-related cooperation mode "Collaborative River Basin Planning" has an indicator value of -0.00724657433967414, which ranks 6th out of 6 total cooperation modes. </t>
  </si>
  <si>
    <t xml:space="preserve">Water-related cooperation mode "Collaborative River Basin Planning" has an indicator value of 0.531406297289797, which ranks 2nd out of 6 total cooperation modes. </t>
  </si>
  <si>
    <t xml:space="preserve">Water-related cooperation mode "Collaborative River Basin Planning" has an indicator value of -0.867872, which ranks 3rd out of 6 total cooperation modes. </t>
  </si>
  <si>
    <t xml:space="preserve">Water-related cooperation mode "Joint Water Allocation Models" has an indicator value of -0.0365428421246902, which ranks 2nd out of 6 total cooperation modes. </t>
  </si>
  <si>
    <t xml:space="preserve">Water-related cooperation mode "Joint Water Allocation Models" has an indicator value of -0.0727313752734498, which ranks 4th out of 6 total cooperation modes. </t>
  </si>
  <si>
    <t xml:space="preserve">Water-related cooperation mode "Joint Water Allocation Models" has an indicator value of 0.063185549907489, which ranks 1st out of 6 total cooperation modes. </t>
  </si>
  <si>
    <t xml:space="preserve">Water-related cooperation mode "Joint Water Allocation Models" has an indicator value of 0.353285863212308, which ranks 4th out of 6 total cooperation modes. </t>
  </si>
  <si>
    <t xml:space="preserve">Water-related cooperation mode "Joint Water Allocation Models" has an indicator value of -0.835957, which ranks 5th out of 6 total cooperation modes. </t>
  </si>
  <si>
    <t xml:space="preserve">Water-related cooperation mode "Joint Data-Sharing Systems" has an indicator value of -0.00861985688967594, which ranks 5th out of 6 total cooperation modes. </t>
  </si>
  <si>
    <t xml:space="preserve">Water-related cooperation mode "Joint Data-Sharing Systems" has an indicator value of -0.0270335342083512, which ranks 2nd out of 6 total cooperation modes. </t>
  </si>
  <si>
    <t xml:space="preserve">Water-related cooperation mode "Joint Data-Sharing Systems" has an indicator value of 0.0309620112359462, which ranks 4th out of 6 total cooperation modes. </t>
  </si>
  <si>
    <t xml:space="preserve">Water-related cooperation mode "Joint Data-Sharing Systems" has an indicator value of 0.481886236555078, which ranks 3rd out of 6 total cooperation modes. </t>
  </si>
  <si>
    <t xml:space="preserve">Water-related cooperation mode "Joint Data-Sharing Systems" has an indicator value of -0.864894, which ranks 4th out of 6 total cooperation modes. </t>
  </si>
  <si>
    <t xml:space="preserve">Water-related cooperation mode "Transboundary Water Quality Standards" has an indicator value of 0.0688677634050435, which ranks 6th out of 6 total cooperation modes. </t>
  </si>
  <si>
    <t xml:space="preserve">Water-related cooperation mode "Transboundary Water Quality Standards" has an indicator value of 0.0316100375194427, which ranks 1st out of 6 total cooperation modes. </t>
  </si>
  <si>
    <t xml:space="preserve">Water-related cooperation mode "Transboundary Water Quality Standards" has an indicator value of 0.0245982707762208, which ranks 5th out of 6 total cooperation modes. </t>
  </si>
  <si>
    <t xml:space="preserve">Water-related cooperation mode "Transboundary Water Quality Standards" has an indicator value of 0.318905997136773, which ranks 5th out of 6 total cooperation modes. </t>
  </si>
  <si>
    <t xml:space="preserve">Water-related cooperation mode "Transboundary Water Quality Standards" has an indicator value of -0.878936, which ranks 2nd out of 6 total cooperation modes. </t>
  </si>
  <si>
    <t xml:space="preserve">Water-related cooperation mode "Coordinated Hydropower Operations" has an indicator value of -0.0286795693948338, which ranks 3rd out of 6 total cooperation modes. </t>
  </si>
  <si>
    <t xml:space="preserve">Water-related cooperation mode "Coordinated Hydropower Operations" has an indicator value of -0.0812592184292324, which ranks 6th out of 6 total cooperation modes. </t>
  </si>
  <si>
    <t xml:space="preserve">Water-related cooperation mode "Coordinated Hydropower Operations" has an indicator value of 0.0356459494087157, which ranks 2nd out of 6 total cooperation modes. </t>
  </si>
  <si>
    <t xml:space="preserve">Water-related cooperation mode "Coordinated Hydropower Operations" has an indicator value of 0.265487431854711, which ranks 6th out of 6 total cooperation modes. </t>
  </si>
  <si>
    <t xml:space="preserve">Water-related cooperation mode "Coordinated Hydropower Operations" has an indicator value of -0.890319, which ranks 1st out of 6 total cooperation modes.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</si>
</sst>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1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1" fillId="0" borderId="10" xfId="0" applyFont="1" applyBorder="1" applyAlignment="1">
      <alignment horizontal="center" vertical="top"/>
    </xf>
    <xf numFmtId="0" fontId="0" fillId="33" borderId="0" xfId="0" applyFill="1">
      <alignment vertical="center"/>
    </xf>
    <xf numFmtId="0" fontId="24" fillId="0" borderId="10" xfId="0" applyFont="1" applyBorder="1" applyAlignment="1">
      <alignment horizontal="center" vertical="top"/>
    </xf>
    <xf numFmtId="0" fontId="19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C03E-B8EB-4CF2-BA39-1C56D22E68EE}">
  <dimension ref="A1:O16"/>
  <sheetViews>
    <sheetView workbookViewId="0">
      <selection activeCell="I16" sqref="I16"/>
    </sheetView>
  </sheetViews>
  <sheetFormatPr defaultRowHeight="14.15" x14ac:dyDescent="0.35"/>
  <cols>
    <col min="1" max="1" width="45.78515625" bestFit="1" customWidth="1"/>
    <col min="2" max="8" width="0" hidden="1" customWidth="1"/>
  </cols>
  <sheetData>
    <row r="1" spans="1:15" x14ac:dyDescent="0.35">
      <c r="A1" s="5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35">
      <c r="A2" s="1"/>
      <c r="B2" s="4" t="s">
        <v>20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</row>
    <row r="3" spans="1:15" hidden="1" x14ac:dyDescent="0.35">
      <c r="A3" s="4" t="s">
        <v>20</v>
      </c>
      <c r="B3" s="1">
        <v>0</v>
      </c>
      <c r="C3" s="1">
        <v>-3.4228286346258213E-2</v>
      </c>
      <c r="D3" s="1">
        <v>-1.524768427682595E-2</v>
      </c>
      <c r="E3" s="1">
        <v>-4.9030381565576757E-2</v>
      </c>
      <c r="F3" s="1">
        <v>-3.8827464806286023E-2</v>
      </c>
      <c r="G3" s="1">
        <v>-2.0946441688448478E-2</v>
      </c>
      <c r="H3" s="1">
        <v>-1.3025221868430701E-2</v>
      </c>
      <c r="I3" s="1">
        <v>-3.3504262283786231E-2</v>
      </c>
      <c r="J3" s="1">
        <v>-1.0625140289771341E-2</v>
      </c>
      <c r="K3" s="1">
        <v>-6.1917478149653114E-3</v>
      </c>
      <c r="L3" s="1">
        <v>1.7030270825942741E-3</v>
      </c>
      <c r="M3" s="1">
        <v>-2.0502247195802138E-3</v>
      </c>
      <c r="N3" s="1">
        <v>1.2131934585614119E-3</v>
      </c>
    </row>
    <row r="4" spans="1:15" hidden="1" x14ac:dyDescent="0.35">
      <c r="A4" s="4" t="s">
        <v>7</v>
      </c>
      <c r="B4" s="1">
        <v>-3.4228286346258213E-2</v>
      </c>
      <c r="C4" s="1">
        <v>0</v>
      </c>
      <c r="D4" s="1">
        <v>3.728903076449545E-3</v>
      </c>
      <c r="E4" s="1">
        <v>1.8997023708272321E-2</v>
      </c>
      <c r="F4" s="1">
        <v>-1.7274649941899738E-2</v>
      </c>
      <c r="G4" s="1">
        <v>4.1408074503244382E-3</v>
      </c>
      <c r="H4" s="1">
        <v>6.4008532294679739E-3</v>
      </c>
      <c r="I4" s="1">
        <v>3.8386414560115881E-3</v>
      </c>
      <c r="J4" s="1">
        <v>7.1218427876259128E-4</v>
      </c>
      <c r="K4" s="1">
        <v>-1.561967607319127E-5</v>
      </c>
      <c r="L4" s="1">
        <v>-1.0460288202136651E-3</v>
      </c>
      <c r="M4" s="1">
        <v>-9.5625083215548229E-5</v>
      </c>
      <c r="N4" s="1">
        <v>-7.8954199146199656E-5</v>
      </c>
    </row>
    <row r="5" spans="1:15" hidden="1" x14ac:dyDescent="0.35">
      <c r="A5" s="4" t="s">
        <v>8</v>
      </c>
      <c r="B5" s="1">
        <v>-1.524768427682595E-2</v>
      </c>
      <c r="C5" s="1">
        <v>3.728903076449545E-3</v>
      </c>
      <c r="D5" s="1">
        <v>0</v>
      </c>
      <c r="E5" s="1">
        <v>1.248238482321805E-2</v>
      </c>
      <c r="F5" s="1">
        <v>-4.9990835645994918E-3</v>
      </c>
      <c r="G5" s="1">
        <v>4.3712473779446174E-3</v>
      </c>
      <c r="H5" s="1">
        <v>4.101570458828448E-3</v>
      </c>
      <c r="I5" s="1">
        <v>3.39255930029998E-3</v>
      </c>
      <c r="J5" s="1">
        <v>6.6570411932567936E-4</v>
      </c>
      <c r="K5" s="1">
        <v>9.3789419349288631E-4</v>
      </c>
      <c r="L5" s="1">
        <v>1.0802075125959309E-4</v>
      </c>
      <c r="M5" s="1">
        <v>-6.9621611208546617E-4</v>
      </c>
      <c r="N5" s="1">
        <v>-3.7220874587282087E-4</v>
      </c>
    </row>
    <row r="6" spans="1:15" hidden="1" x14ac:dyDescent="0.35">
      <c r="A6" s="4" t="s">
        <v>9</v>
      </c>
      <c r="B6" s="1">
        <v>-4.9030381565576757E-2</v>
      </c>
      <c r="C6" s="1">
        <v>1.8997023708272321E-2</v>
      </c>
      <c r="D6" s="1">
        <v>1.248238482321805E-2</v>
      </c>
      <c r="E6" s="1">
        <v>0</v>
      </c>
      <c r="F6" s="1">
        <v>3.474692005402011E-3</v>
      </c>
      <c r="G6" s="1">
        <v>6.6225157750010267E-3</v>
      </c>
      <c r="H6" s="1">
        <v>2.9948764903960931E-3</v>
      </c>
      <c r="I6" s="1">
        <v>4.3511869394400361E-3</v>
      </c>
      <c r="J6" s="1">
        <v>2.776918056081209E-4</v>
      </c>
      <c r="K6" s="1">
        <v>-1.431912800568042E-3</v>
      </c>
      <c r="L6" s="1">
        <v>-1.054177886827437E-4</v>
      </c>
      <c r="M6" s="1">
        <v>-1.8786619915024051E-4</v>
      </c>
      <c r="N6" s="1">
        <v>-2.9695438103638288E-4</v>
      </c>
    </row>
    <row r="7" spans="1:15" hidden="1" x14ac:dyDescent="0.35">
      <c r="A7" s="4" t="s">
        <v>10</v>
      </c>
      <c r="B7" s="1">
        <v>-3.8827464806286023E-2</v>
      </c>
      <c r="C7" s="1">
        <v>-1.7274649941899738E-2</v>
      </c>
      <c r="D7" s="1">
        <v>-4.9990835645994918E-3</v>
      </c>
      <c r="E7" s="1">
        <v>3.474692005402011E-3</v>
      </c>
      <c r="F7" s="1">
        <v>0</v>
      </c>
      <c r="G7" s="1">
        <v>1.5604334266571881E-3</v>
      </c>
      <c r="H7" s="1">
        <v>2.466767053310945E-3</v>
      </c>
      <c r="I7" s="1">
        <v>2.1694827214467291E-3</v>
      </c>
      <c r="J7" s="1">
        <v>1.757433870759793E-4</v>
      </c>
      <c r="K7" s="1">
        <v>-2.086514290344008E-4</v>
      </c>
      <c r="L7" s="1">
        <v>1.779628343167048E-4</v>
      </c>
      <c r="M7" s="1">
        <v>-3.9536846518108099E-4</v>
      </c>
      <c r="N7" s="1">
        <v>-5.2470254395222062E-5</v>
      </c>
    </row>
    <row r="8" spans="1:15" hidden="1" x14ac:dyDescent="0.35">
      <c r="A8" s="4" t="s">
        <v>11</v>
      </c>
      <c r="B8" s="1">
        <v>-2.0946441688448478E-2</v>
      </c>
      <c r="C8" s="1">
        <v>4.1408074503244382E-3</v>
      </c>
      <c r="D8" s="1">
        <v>4.3712473779446174E-3</v>
      </c>
      <c r="E8" s="1">
        <v>6.6225157750010267E-3</v>
      </c>
      <c r="F8" s="1">
        <v>1.5604334266571881E-3</v>
      </c>
      <c r="G8" s="1">
        <v>0</v>
      </c>
      <c r="H8" s="1">
        <v>-1.243447893838978E-3</v>
      </c>
      <c r="I8" s="1">
        <v>1.2129666447835459E-4</v>
      </c>
      <c r="J8" s="1">
        <v>-4.6990156011467968E-4</v>
      </c>
      <c r="K8" s="1">
        <v>-7.5939661205654463E-4</v>
      </c>
      <c r="L8" s="1">
        <v>1.9172293955449569E-4</v>
      </c>
      <c r="M8" s="1">
        <v>1.7111412487102109E-4</v>
      </c>
      <c r="N8" s="1">
        <v>-2.237234787174351E-4</v>
      </c>
    </row>
    <row r="9" spans="1:15" hidden="1" x14ac:dyDescent="0.35">
      <c r="A9" s="4" t="s">
        <v>12</v>
      </c>
      <c r="B9" s="1">
        <v>-1.3025221868430701E-2</v>
      </c>
      <c r="C9" s="1">
        <v>6.4008532294679739E-3</v>
      </c>
      <c r="D9" s="1">
        <v>4.101570458828448E-3</v>
      </c>
      <c r="E9" s="1">
        <v>2.9948764903960931E-3</v>
      </c>
      <c r="F9" s="1">
        <v>2.466767053310945E-3</v>
      </c>
      <c r="G9" s="1">
        <v>-1.243447893838978E-3</v>
      </c>
      <c r="H9" s="1">
        <v>0</v>
      </c>
      <c r="I9" s="1">
        <v>1.3843714096145E-3</v>
      </c>
      <c r="J9" s="1">
        <v>-4.2885316107331073E-5</v>
      </c>
      <c r="K9" s="1">
        <v>-9.7389571446640239E-4</v>
      </c>
      <c r="L9" s="1">
        <v>1.8374693467648191E-5</v>
      </c>
      <c r="M9" s="1">
        <v>3.4805166116651259E-4</v>
      </c>
      <c r="N9" s="1">
        <v>1.3392575114214549E-4</v>
      </c>
    </row>
    <row r="10" spans="1:15" x14ac:dyDescent="0.35">
      <c r="A10" s="4" t="s">
        <v>13</v>
      </c>
      <c r="B10" s="1">
        <v>-3.3504262283786231E-2</v>
      </c>
      <c r="C10" s="1">
        <v>3.8386414560115881E-3</v>
      </c>
      <c r="D10" s="1">
        <v>3.39255930029998E-3</v>
      </c>
      <c r="E10" s="1">
        <v>4.3511869394400361E-3</v>
      </c>
      <c r="F10" s="1">
        <v>2.1694827214467291E-3</v>
      </c>
      <c r="G10" s="1">
        <v>1.2129666447835459E-4</v>
      </c>
      <c r="H10" s="1">
        <v>1.3843714096145E-3</v>
      </c>
      <c r="I10" s="1">
        <v>0</v>
      </c>
      <c r="J10" s="1">
        <v>-1.2814921057300299E-3</v>
      </c>
      <c r="K10" s="1">
        <v>-4.6714391746157009E-4</v>
      </c>
      <c r="L10" s="1">
        <v>-5.1916941646623443E-4</v>
      </c>
      <c r="M10" s="1">
        <v>6.1618392784342071E-5</v>
      </c>
      <c r="N10" s="1">
        <v>-1.054625157761057E-4</v>
      </c>
      <c r="O10">
        <f>(I10+J10+K10+L10+M10+N10)/6</f>
        <v>-3.8527492710826636E-4</v>
      </c>
    </row>
    <row r="11" spans="1:15" x14ac:dyDescent="0.35">
      <c r="A11" s="4" t="s">
        <v>14</v>
      </c>
      <c r="B11" s="1">
        <v>-1.0625140289771341E-2</v>
      </c>
      <c r="C11" s="1">
        <v>7.1218427876259128E-4</v>
      </c>
      <c r="D11" s="1">
        <v>6.6570411932567936E-4</v>
      </c>
      <c r="E11" s="1">
        <v>2.776918056081209E-4</v>
      </c>
      <c r="F11" s="1">
        <v>1.757433870759793E-4</v>
      </c>
      <c r="G11" s="1">
        <v>-4.6990156011467968E-4</v>
      </c>
      <c r="H11" s="1">
        <v>-4.2885316107331073E-5</v>
      </c>
      <c r="I11" s="1">
        <v>-1.2814921057300299E-3</v>
      </c>
      <c r="J11" s="1">
        <v>0</v>
      </c>
      <c r="K11" s="1">
        <v>9.1141976050758454E-4</v>
      </c>
      <c r="L11" s="1">
        <v>-1.002029695736243E-4</v>
      </c>
      <c r="M11" s="1">
        <v>-1.3033223304060459E-4</v>
      </c>
      <c r="N11" s="1">
        <v>-9.9851316779540306E-5</v>
      </c>
      <c r="O11">
        <f t="shared" ref="O11:O15" si="0">(I11+J11+K11+L11+M11+N11)/6</f>
        <v>-1.1674314410270242E-4</v>
      </c>
    </row>
    <row r="12" spans="1:15" x14ac:dyDescent="0.35">
      <c r="A12" s="4" t="s">
        <v>15</v>
      </c>
      <c r="B12" s="1">
        <v>-6.1917478149653114E-3</v>
      </c>
      <c r="C12" s="1">
        <v>-1.561967607319127E-5</v>
      </c>
      <c r="D12" s="1">
        <v>9.3789419349288631E-4</v>
      </c>
      <c r="E12" s="1">
        <v>-1.431912800568042E-3</v>
      </c>
      <c r="F12" s="1">
        <v>-2.086514290344008E-4</v>
      </c>
      <c r="G12" s="1">
        <v>-7.5939661205654463E-4</v>
      </c>
      <c r="H12" s="1">
        <v>-9.7389571446640239E-4</v>
      </c>
      <c r="I12" s="1">
        <v>-4.6714391746157009E-4</v>
      </c>
      <c r="J12" s="1">
        <v>9.1141976050758454E-4</v>
      </c>
      <c r="K12" s="1">
        <v>0</v>
      </c>
      <c r="L12" s="1">
        <v>-1.1084673966899941E-4</v>
      </c>
      <c r="M12" s="1">
        <v>3.206652185975242E-5</v>
      </c>
      <c r="N12" s="1">
        <v>-1.083794373865428E-4</v>
      </c>
      <c r="O12">
        <f t="shared" si="0"/>
        <v>4.285269797503745E-5</v>
      </c>
    </row>
    <row r="13" spans="1:15" x14ac:dyDescent="0.35">
      <c r="A13" s="4" t="s">
        <v>16</v>
      </c>
      <c r="B13" s="1">
        <v>1.7030270825942741E-3</v>
      </c>
      <c r="C13" s="1">
        <v>-1.0460288202136651E-3</v>
      </c>
      <c r="D13" s="1">
        <v>1.0802075125959309E-4</v>
      </c>
      <c r="E13" s="1">
        <v>-1.054177886827437E-4</v>
      </c>
      <c r="F13" s="1">
        <v>1.779628343167048E-4</v>
      </c>
      <c r="G13" s="1">
        <v>1.9172293955449569E-4</v>
      </c>
      <c r="H13" s="1">
        <v>1.8374693467648191E-5</v>
      </c>
      <c r="I13" s="1">
        <v>-5.1916941646623443E-4</v>
      </c>
      <c r="J13" s="1">
        <v>-1.002029695736243E-4</v>
      </c>
      <c r="K13" s="1">
        <v>-1.1084673966899941E-4</v>
      </c>
      <c r="L13" s="1">
        <v>0</v>
      </c>
      <c r="M13" s="1">
        <v>-2.6986384534891171E-4</v>
      </c>
      <c r="N13" s="1">
        <v>2.9396897158632412E-4</v>
      </c>
      <c r="O13">
        <f t="shared" si="0"/>
        <v>-1.1768566657857427E-4</v>
      </c>
    </row>
    <row r="14" spans="1:15" x14ac:dyDescent="0.35">
      <c r="A14" s="4" t="s">
        <v>17</v>
      </c>
      <c r="B14" s="1">
        <v>-2.0502247195802138E-3</v>
      </c>
      <c r="C14" s="1">
        <v>-9.5625083215548229E-5</v>
      </c>
      <c r="D14" s="1">
        <v>-6.9621611208546617E-4</v>
      </c>
      <c r="E14" s="1">
        <v>-1.8786619915024051E-4</v>
      </c>
      <c r="F14" s="1">
        <v>-3.9536846518108099E-4</v>
      </c>
      <c r="G14" s="1">
        <v>1.7111412487102109E-4</v>
      </c>
      <c r="H14" s="1">
        <v>3.4805166116651259E-4</v>
      </c>
      <c r="I14" s="1">
        <v>6.1618392784342071E-5</v>
      </c>
      <c r="J14" s="1">
        <v>-1.3033223304060459E-4</v>
      </c>
      <c r="K14" s="1">
        <v>3.206652185975242E-5</v>
      </c>
      <c r="L14" s="1">
        <v>-2.6986384534891171E-4</v>
      </c>
      <c r="M14" s="1">
        <v>0</v>
      </c>
      <c r="N14" s="1">
        <v>9.931657614154519E-6</v>
      </c>
      <c r="O14">
        <f t="shared" si="0"/>
        <v>-4.9429917688544551E-5</v>
      </c>
    </row>
    <row r="15" spans="1:15" x14ac:dyDescent="0.35">
      <c r="A15" s="4" t="s">
        <v>18</v>
      </c>
      <c r="B15" s="1">
        <v>1.2131934585614119E-3</v>
      </c>
      <c r="C15" s="1">
        <v>-7.8954199146199656E-5</v>
      </c>
      <c r="D15" s="1">
        <v>-3.7220874587282087E-4</v>
      </c>
      <c r="E15" s="1">
        <v>-2.9695438103638288E-4</v>
      </c>
      <c r="F15" s="1">
        <v>-5.2470254395222062E-5</v>
      </c>
      <c r="G15" s="1">
        <v>-2.237234787174351E-4</v>
      </c>
      <c r="H15" s="1">
        <v>1.3392575114214549E-4</v>
      </c>
      <c r="I15" s="1">
        <v>-1.054625157761057E-4</v>
      </c>
      <c r="J15" s="1">
        <v>-9.9851316779540306E-5</v>
      </c>
      <c r="K15" s="1">
        <v>-1.083794373865428E-4</v>
      </c>
      <c r="L15" s="1">
        <v>2.9396897158632412E-4</v>
      </c>
      <c r="M15" s="1">
        <v>9.931657614154519E-6</v>
      </c>
      <c r="N15" s="1">
        <v>0</v>
      </c>
      <c r="O15">
        <f t="shared" si="0"/>
        <v>-1.6321067902850284E-6</v>
      </c>
    </row>
    <row r="16" spans="1:15" x14ac:dyDescent="0.35">
      <c r="I16" s="1">
        <f>AVERAGE(I10:I15)</f>
        <v>-3.8527492710826636E-4</v>
      </c>
      <c r="J16" s="1">
        <f t="shared" ref="J16:N16" si="1">AVERAGE(J10:J15)</f>
        <v>-1.1674314410270242E-4</v>
      </c>
      <c r="K16" s="1">
        <f t="shared" si="1"/>
        <v>4.285269797503745E-5</v>
      </c>
      <c r="L16" s="1">
        <f t="shared" si="1"/>
        <v>-1.1768566657857427E-4</v>
      </c>
      <c r="M16" s="1">
        <f t="shared" si="1"/>
        <v>-4.9429917688544551E-5</v>
      </c>
      <c r="N16" s="1">
        <f t="shared" si="1"/>
        <v>-1.6321067902850284E-6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8105-73A1-40E9-9927-2E5DF34C320A}">
  <dimension ref="A1:N33"/>
  <sheetViews>
    <sheetView workbookViewId="0">
      <selection activeCell="B28" sqref="B28:G28"/>
    </sheetView>
  </sheetViews>
  <sheetFormatPr defaultRowHeight="14.15" x14ac:dyDescent="0.35"/>
  <cols>
    <col min="1" max="1" width="45.78515625" bestFit="1" customWidth="1"/>
  </cols>
  <sheetData>
    <row r="1" spans="1:7" x14ac:dyDescent="0.35">
      <c r="A1" s="1"/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5">
      <c r="A2" s="2" t="s">
        <v>13</v>
      </c>
      <c r="B2" s="1">
        <v>-3.7495964155890828E-2</v>
      </c>
      <c r="C2" s="1">
        <v>-7.6592859765604496E-2</v>
      </c>
      <c r="D2" s="1">
        <v>3.7084027884497439E-2</v>
      </c>
      <c r="E2" s="1">
        <v>2.6583792309424929E-2</v>
      </c>
      <c r="F2" s="1">
        <v>-0.2412608030770752</v>
      </c>
      <c r="G2" s="1">
        <v>3.2080856856254968E-2</v>
      </c>
    </row>
    <row r="3" spans="1:7" x14ac:dyDescent="0.35">
      <c r="A3" s="2" t="s">
        <v>14</v>
      </c>
      <c r="B3" s="1">
        <v>-2.5688989471408491E-2</v>
      </c>
      <c r="C3" s="1">
        <v>-6.2292248133812407E-2</v>
      </c>
      <c r="D3" s="1">
        <v>5.4341169609976991E-3</v>
      </c>
      <c r="E3" s="1">
        <v>3.3625085720578332E-2</v>
      </c>
      <c r="F3" s="1">
        <v>-0.2154183871285254</v>
      </c>
      <c r="G3" s="1">
        <v>-7.2465743396741391E-3</v>
      </c>
    </row>
    <row r="4" spans="1:7" x14ac:dyDescent="0.35">
      <c r="A4" s="2" t="s">
        <v>15</v>
      </c>
      <c r="B4" s="1">
        <v>-3.6542842124690222E-2</v>
      </c>
      <c r="C4" s="1">
        <v>-7.2731375273449764E-2</v>
      </c>
      <c r="D4" s="1">
        <v>4.1750009351387743E-2</v>
      </c>
      <c r="E4" s="1">
        <v>2.1415923157853411E-2</v>
      </c>
      <c r="F4" s="1">
        <v>-0.16544428157915</v>
      </c>
      <c r="G4" s="1">
        <v>6.3185549907488966E-2</v>
      </c>
    </row>
    <row r="5" spans="1:7" x14ac:dyDescent="0.35">
      <c r="A5" s="2" t="s">
        <v>16</v>
      </c>
      <c r="B5" s="1">
        <v>-8.6198568896759444E-3</v>
      </c>
      <c r="C5" s="1">
        <v>-2.7033534208351161E-2</v>
      </c>
      <c r="D5" s="1">
        <v>5.2765178166824987E-2</v>
      </c>
      <c r="E5" s="1">
        <v>-2.3856382323128901E-3</v>
      </c>
      <c r="F5" s="1">
        <v>-0.1848347993441741</v>
      </c>
      <c r="G5" s="1">
        <v>3.0962011235946201E-2</v>
      </c>
    </row>
    <row r="6" spans="1:7" x14ac:dyDescent="0.35">
      <c r="A6" s="2" t="s">
        <v>17</v>
      </c>
      <c r="B6" s="1">
        <v>6.8867763405043483E-2</v>
      </c>
      <c r="C6" s="1">
        <v>3.1610037519442712E-2</v>
      </c>
      <c r="D6" s="1">
        <v>4.6315322712494257E-2</v>
      </c>
      <c r="E6" s="1">
        <v>-0.1003562146797817</v>
      </c>
      <c r="F6" s="1">
        <v>-0.1568701289030176</v>
      </c>
      <c r="G6" s="1">
        <v>2.459827077622077E-2</v>
      </c>
    </row>
    <row r="7" spans="1:7" x14ac:dyDescent="0.35">
      <c r="A7" s="2" t="s">
        <v>18</v>
      </c>
      <c r="B7" s="1">
        <v>-2.86795693948338E-2</v>
      </c>
      <c r="C7" s="1">
        <v>-8.1259218429232435E-2</v>
      </c>
      <c r="D7" s="1">
        <v>-1.0849379065937951E-2</v>
      </c>
      <c r="E7" s="1">
        <v>3.6789437826313533E-2</v>
      </c>
      <c r="F7" s="1">
        <v>-0.12169330097713341</v>
      </c>
      <c r="G7" s="1">
        <v>3.5645949408715683E-2</v>
      </c>
    </row>
    <row r="9" spans="1:7" x14ac:dyDescent="0.35">
      <c r="B9" t="s">
        <v>19</v>
      </c>
      <c r="C9" t="s">
        <v>37</v>
      </c>
      <c r="D9" t="s">
        <v>2</v>
      </c>
    </row>
    <row r="10" spans="1:7" x14ac:dyDescent="0.35">
      <c r="A10" s="2" t="s">
        <v>13</v>
      </c>
      <c r="B10" s="1">
        <f>B2</f>
        <v>-3.7495964155890828E-2</v>
      </c>
      <c r="C10">
        <f>C2</f>
        <v>-7.6592859765604496E-2</v>
      </c>
      <c r="D10">
        <f>G2</f>
        <v>3.2080856856254968E-2</v>
      </c>
    </row>
    <row r="11" spans="1:7" x14ac:dyDescent="0.35">
      <c r="A11" s="2" t="s">
        <v>14</v>
      </c>
      <c r="B11" s="1">
        <f t="shared" ref="B11:B15" si="0">B3</f>
        <v>-2.5688989471408491E-2</v>
      </c>
      <c r="C11">
        <f t="shared" ref="C11:C15" si="1">C3</f>
        <v>-6.2292248133812407E-2</v>
      </c>
      <c r="D11">
        <f t="shared" ref="D11:D15" si="2">G3</f>
        <v>-7.2465743396741391E-3</v>
      </c>
    </row>
    <row r="12" spans="1:7" x14ac:dyDescent="0.35">
      <c r="A12" s="2" t="s">
        <v>15</v>
      </c>
      <c r="B12" s="1">
        <f t="shared" si="0"/>
        <v>-3.6542842124690222E-2</v>
      </c>
      <c r="C12">
        <f t="shared" si="1"/>
        <v>-7.2731375273449764E-2</v>
      </c>
      <c r="D12">
        <f t="shared" si="2"/>
        <v>6.3185549907488966E-2</v>
      </c>
    </row>
    <row r="13" spans="1:7" x14ac:dyDescent="0.35">
      <c r="A13" s="2" t="s">
        <v>16</v>
      </c>
      <c r="B13" s="1">
        <f t="shared" si="0"/>
        <v>-8.6198568896759444E-3</v>
      </c>
      <c r="C13">
        <f t="shared" si="1"/>
        <v>-2.7033534208351161E-2</v>
      </c>
      <c r="D13">
        <f t="shared" si="2"/>
        <v>3.0962011235946201E-2</v>
      </c>
    </row>
    <row r="14" spans="1:7" x14ac:dyDescent="0.35">
      <c r="A14" s="2" t="s">
        <v>17</v>
      </c>
      <c r="B14" s="1">
        <f t="shared" si="0"/>
        <v>6.8867763405043483E-2</v>
      </c>
      <c r="C14">
        <f t="shared" si="1"/>
        <v>3.1610037519442712E-2</v>
      </c>
      <c r="D14">
        <f t="shared" si="2"/>
        <v>2.459827077622077E-2</v>
      </c>
    </row>
    <row r="15" spans="1:7" x14ac:dyDescent="0.35">
      <c r="A15" s="2" t="s">
        <v>18</v>
      </c>
      <c r="B15" s="1">
        <f t="shared" si="0"/>
        <v>-2.86795693948338E-2</v>
      </c>
      <c r="C15">
        <f t="shared" si="1"/>
        <v>-8.1259218429232435E-2</v>
      </c>
      <c r="D15">
        <f t="shared" si="2"/>
        <v>3.5645949408715683E-2</v>
      </c>
    </row>
    <row r="18" spans="1:14" x14ac:dyDescent="0.35">
      <c r="A18" s="1"/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</row>
    <row r="19" spans="1:14" x14ac:dyDescent="0.35">
      <c r="A19" s="1" t="s">
        <v>13</v>
      </c>
      <c r="B19" s="1">
        <v>1</v>
      </c>
      <c r="C19" s="1">
        <v>0.7851220056817928</v>
      </c>
      <c r="D19" s="1">
        <v>0.53947891333126208</v>
      </c>
      <c r="E19" s="1">
        <v>0.70639927778028211</v>
      </c>
      <c r="F19" s="1">
        <v>0.43981717473549597</v>
      </c>
      <c r="G19" s="1">
        <v>0.36384690020272897</v>
      </c>
      <c r="I19" s="1">
        <v>-3.7495964155890828E-2</v>
      </c>
      <c r="J19" s="1">
        <v>-7.6592859765604496E-2</v>
      </c>
      <c r="K19" s="1">
        <v>3.7084027884497432E-2</v>
      </c>
      <c r="L19" s="1">
        <v>2.6583792309424939E-2</v>
      </c>
      <c r="M19" s="1">
        <v>-0.2412608030770752</v>
      </c>
      <c r="N19" s="1">
        <v>3.2080856856254961E-2</v>
      </c>
    </row>
    <row r="20" spans="1:14" x14ac:dyDescent="0.35">
      <c r="A20" s="1" t="s">
        <v>14</v>
      </c>
      <c r="B20" s="1">
        <v>0.7851220056817928</v>
      </c>
      <c r="C20" s="1">
        <v>1</v>
      </c>
      <c r="D20" s="1">
        <v>0.45814536576966258</v>
      </c>
      <c r="E20" s="1">
        <v>0.65202280920408628</v>
      </c>
      <c r="F20" s="1">
        <v>0.38175079228973169</v>
      </c>
      <c r="G20" s="1">
        <v>0.37999051350371288</v>
      </c>
      <c r="I20" s="1">
        <v>-2.5688989471408491E-2</v>
      </c>
      <c r="J20" s="1">
        <v>-6.2292248133812407E-2</v>
      </c>
      <c r="K20" s="1">
        <v>5.434116960997713E-3</v>
      </c>
      <c r="L20" s="1">
        <v>3.3625085720578311E-2</v>
      </c>
      <c r="M20" s="1">
        <v>-0.21541838712852529</v>
      </c>
      <c r="N20" s="1">
        <v>-7.2465743396741347E-3</v>
      </c>
    </row>
    <row r="21" spans="1:14" x14ac:dyDescent="0.35">
      <c r="A21" s="1" t="s">
        <v>15</v>
      </c>
      <c r="B21" s="1">
        <v>0.53947891333126208</v>
      </c>
      <c r="C21" s="1">
        <v>0.45814536576966258</v>
      </c>
      <c r="D21" s="1">
        <v>1</v>
      </c>
      <c r="E21" s="1">
        <v>0.34343670303568818</v>
      </c>
      <c r="F21" s="1">
        <v>0.19302710510615781</v>
      </c>
      <c r="G21" s="1">
        <v>0.23234122881877031</v>
      </c>
      <c r="I21" s="1">
        <v>-3.6542842124690222E-2</v>
      </c>
      <c r="J21" s="1">
        <v>-7.2731375273449764E-2</v>
      </c>
      <c r="K21" s="1">
        <v>4.1750009351387743E-2</v>
      </c>
      <c r="L21" s="1">
        <v>2.1415923157853421E-2</v>
      </c>
      <c r="M21" s="1">
        <v>-0.16544428157915009</v>
      </c>
      <c r="N21" s="1">
        <v>6.3185549907488966E-2</v>
      </c>
    </row>
    <row r="22" spans="1:14" x14ac:dyDescent="0.35">
      <c r="A22" s="1" t="s">
        <v>16</v>
      </c>
      <c r="B22" s="1">
        <v>0.70639927778028211</v>
      </c>
      <c r="C22" s="1">
        <v>0.65202280920408628</v>
      </c>
      <c r="D22" s="1">
        <v>0.34343670303568818</v>
      </c>
      <c r="E22" s="1">
        <v>1</v>
      </c>
      <c r="F22" s="1">
        <v>0.46812439477973489</v>
      </c>
      <c r="G22" s="1">
        <v>0.23944799797559679</v>
      </c>
      <c r="I22" s="1">
        <v>-8.6198568896759496E-3</v>
      </c>
      <c r="J22" s="1">
        <v>-2.7033534208351161E-2</v>
      </c>
      <c r="K22" s="1">
        <v>5.2765178166824987E-2</v>
      </c>
      <c r="L22" s="1">
        <v>-2.3856382323128879E-3</v>
      </c>
      <c r="M22" s="1">
        <v>-0.1848347993441741</v>
      </c>
      <c r="N22" s="1">
        <v>3.0962011235946201E-2</v>
      </c>
    </row>
    <row r="23" spans="1:14" x14ac:dyDescent="0.35">
      <c r="A23" s="1" t="s">
        <v>17</v>
      </c>
      <c r="B23" s="1">
        <v>0.43981717473549597</v>
      </c>
      <c r="C23" s="1">
        <v>0.38175079228973169</v>
      </c>
      <c r="D23" s="1">
        <v>0.19302710510615781</v>
      </c>
      <c r="E23" s="1">
        <v>0.46812439477973489</v>
      </c>
      <c r="F23" s="1">
        <v>1</v>
      </c>
      <c r="G23" s="1">
        <v>0.1118105187727465</v>
      </c>
      <c r="I23" s="1">
        <v>6.8867763405043483E-2</v>
      </c>
      <c r="J23" s="1">
        <v>3.1610037519442698E-2</v>
      </c>
      <c r="K23" s="1">
        <v>4.6315322712494257E-2</v>
      </c>
      <c r="L23" s="1">
        <v>-0.1003562146797817</v>
      </c>
      <c r="M23" s="1">
        <v>-0.15687012890301771</v>
      </c>
      <c r="N23" s="1">
        <v>2.459827077622077E-2</v>
      </c>
    </row>
    <row r="24" spans="1:14" x14ac:dyDescent="0.35">
      <c r="A24" s="1" t="s">
        <v>18</v>
      </c>
      <c r="B24" s="1">
        <v>0.36384690020272897</v>
      </c>
      <c r="C24" s="1">
        <v>0.37999051350371288</v>
      </c>
      <c r="D24" s="1">
        <v>0.23234122881877031</v>
      </c>
      <c r="E24" s="1">
        <v>0.23944799797559679</v>
      </c>
      <c r="F24" s="1">
        <v>0.1118105187727465</v>
      </c>
      <c r="G24" s="1">
        <v>1</v>
      </c>
      <c r="I24" s="1">
        <v>-2.86795693948338E-2</v>
      </c>
      <c r="J24" s="1">
        <v>-8.1259218429232435E-2</v>
      </c>
      <c r="K24" s="1">
        <v>-1.0849379065937951E-2</v>
      </c>
      <c r="L24" s="1">
        <v>3.6789437826313533E-2</v>
      </c>
      <c r="M24" s="1">
        <v>-0.12169330097713341</v>
      </c>
      <c r="N24" s="1">
        <v>3.5645949408715683E-2</v>
      </c>
    </row>
    <row r="26" spans="1:14" x14ac:dyDescent="0.35">
      <c r="B26" s="1">
        <f>(SUM(B19:B24)-1)/5</f>
        <v>0.56693285434631235</v>
      </c>
      <c r="C26" s="1">
        <f t="shared" ref="C26:G26" si="3">(SUM(C19:C24)-1)/5</f>
        <v>0.53140629728979716</v>
      </c>
      <c r="D26" s="1">
        <f t="shared" si="3"/>
        <v>0.3532858632123082</v>
      </c>
      <c r="E26" s="1">
        <f t="shared" si="3"/>
        <v>0.48188623655507767</v>
      </c>
      <c r="F26" s="1">
        <f t="shared" si="3"/>
        <v>0.31890599713677331</v>
      </c>
      <c r="G26" s="1">
        <f t="shared" si="3"/>
        <v>0.26548743185471108</v>
      </c>
    </row>
    <row r="27" spans="1:14" x14ac:dyDescent="0.35">
      <c r="B27" s="1"/>
      <c r="C27" s="1"/>
      <c r="D27" s="1"/>
      <c r="E27" s="1"/>
      <c r="F27" s="1"/>
      <c r="G27" s="1"/>
    </row>
    <row r="29" spans="1:14" x14ac:dyDescent="0.35">
      <c r="C29" s="1"/>
      <c r="D29" s="1"/>
      <c r="E29" s="1"/>
      <c r="F29" s="1"/>
      <c r="G29" s="1"/>
    </row>
    <row r="30" spans="1:14" x14ac:dyDescent="0.35">
      <c r="C30" s="1"/>
      <c r="D30" s="1"/>
      <c r="E30" s="1"/>
      <c r="F30" s="1"/>
      <c r="G30" s="1"/>
    </row>
    <row r="32" spans="1:14" x14ac:dyDescent="0.35">
      <c r="E32" s="1"/>
      <c r="F32" s="1"/>
      <c r="G32" s="1"/>
    </row>
    <row r="33" spans="5:7" x14ac:dyDescent="0.35">
      <c r="E33" s="1"/>
      <c r="F33" s="1"/>
      <c r="G33" s="1"/>
    </row>
  </sheetData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E18C-5F57-4452-B0AF-6D3D03667308}">
  <dimension ref="A1:O25"/>
  <sheetViews>
    <sheetView tabSelected="1" workbookViewId="0">
      <selection activeCell="H20" sqref="H20"/>
    </sheetView>
  </sheetViews>
  <sheetFormatPr defaultRowHeight="14.15" x14ac:dyDescent="0.35"/>
  <cols>
    <col min="1" max="1" width="15.78515625" customWidth="1"/>
    <col min="2" max="4" width="8.85546875" customWidth="1"/>
    <col min="5" max="5" width="12.140625" customWidth="1"/>
    <col min="6" max="6" width="8.85546875" customWidth="1"/>
  </cols>
  <sheetData>
    <row r="1" spans="1:1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3" t="s">
        <v>0</v>
      </c>
      <c r="K1" t="s">
        <v>1</v>
      </c>
      <c r="L1" t="s">
        <v>2</v>
      </c>
      <c r="M1" t="s">
        <v>3</v>
      </c>
      <c r="N1" s="3" t="s">
        <v>4</v>
      </c>
      <c r="O1" t="s">
        <v>5</v>
      </c>
    </row>
    <row r="2" spans="1:15" x14ac:dyDescent="0.35">
      <c r="A2" t="s">
        <v>13</v>
      </c>
      <c r="B2">
        <v>-3.7495964155890828E-2</v>
      </c>
      <c r="C2">
        <v>-7.6592859765604496E-2</v>
      </c>
      <c r="D2">
        <v>3.2080856856254968E-2</v>
      </c>
      <c r="E2">
        <v>0.56693285434631235</v>
      </c>
      <c r="F2">
        <v>-0.78489399999999998</v>
      </c>
      <c r="G2">
        <v>2.7067999999999998E-2</v>
      </c>
      <c r="I2" t="s">
        <v>13</v>
      </c>
      <c r="J2">
        <f t="shared" ref="J2:J7" si="0">RANK(B2,$B$2:$B$7,1)</f>
        <v>1</v>
      </c>
      <c r="K2">
        <f t="shared" ref="K2:K7" si="1">RANK(C2,$C$2:$C$7)</f>
        <v>5</v>
      </c>
      <c r="L2">
        <f t="shared" ref="L2:L7" si="2">RANK(D2,$D$2:$D$7)</f>
        <v>3</v>
      </c>
      <c r="M2">
        <f>RANK(E2,$E$2:$E$7)</f>
        <v>1</v>
      </c>
      <c r="N2">
        <f>RANK(F2,$F$2:$F$7,1)</f>
        <v>6</v>
      </c>
      <c r="O2">
        <f>RANK(G2,$G$2:$G$7)</f>
        <v>1</v>
      </c>
    </row>
    <row r="3" spans="1:15" x14ac:dyDescent="0.35">
      <c r="A3" t="s">
        <v>14</v>
      </c>
      <c r="B3">
        <v>-2.5688989471408491E-2</v>
      </c>
      <c r="C3">
        <v>-6.2292248133812407E-2</v>
      </c>
      <c r="D3">
        <v>-7.2465743396741391E-3</v>
      </c>
      <c r="E3">
        <v>0.53140629728979716</v>
      </c>
      <c r="F3">
        <v>-0.86787199999999998</v>
      </c>
      <c r="G3">
        <v>6.0179999999999999E-3</v>
      </c>
      <c r="I3" t="s">
        <v>14</v>
      </c>
      <c r="J3">
        <f t="shared" si="0"/>
        <v>4</v>
      </c>
      <c r="K3">
        <f t="shared" si="1"/>
        <v>3</v>
      </c>
      <c r="L3">
        <f t="shared" si="2"/>
        <v>6</v>
      </c>
      <c r="M3">
        <f t="shared" ref="M3:M7" si="3">RANK(E3,$E$2:$E$7)</f>
        <v>2</v>
      </c>
      <c r="N3">
        <f t="shared" ref="N3:N7" si="4">RANK(F3,$F$2:$F$7,1)</f>
        <v>3</v>
      </c>
      <c r="O3">
        <f>RANK(G3,$G$2:$G$7)</f>
        <v>5</v>
      </c>
    </row>
    <row r="4" spans="1:15" x14ac:dyDescent="0.35">
      <c r="A4" t="s">
        <v>15</v>
      </c>
      <c r="B4">
        <v>-3.6542842124690222E-2</v>
      </c>
      <c r="C4">
        <v>-7.2731375273449764E-2</v>
      </c>
      <c r="D4">
        <v>6.3185549907488966E-2</v>
      </c>
      <c r="E4">
        <v>0.3532858632123082</v>
      </c>
      <c r="F4">
        <v>-0.83595699999999995</v>
      </c>
      <c r="G4">
        <v>1.3393E-2</v>
      </c>
      <c r="I4" t="s">
        <v>15</v>
      </c>
      <c r="J4">
        <f t="shared" si="0"/>
        <v>2</v>
      </c>
      <c r="K4">
        <f t="shared" si="1"/>
        <v>4</v>
      </c>
      <c r="L4">
        <f t="shared" si="2"/>
        <v>1</v>
      </c>
      <c r="M4">
        <f t="shared" si="3"/>
        <v>4</v>
      </c>
      <c r="N4">
        <f t="shared" si="4"/>
        <v>5</v>
      </c>
      <c r="O4">
        <f t="shared" ref="O4:O7" si="5">RANK(G4,$G$2:$G$7)</f>
        <v>2</v>
      </c>
    </row>
    <row r="5" spans="1:15" x14ac:dyDescent="0.35">
      <c r="A5" t="s">
        <v>16</v>
      </c>
      <c r="B5">
        <v>-8.6198568896759444E-3</v>
      </c>
      <c r="C5">
        <v>-2.7033534208351161E-2</v>
      </c>
      <c r="D5">
        <v>3.0962011235946201E-2</v>
      </c>
      <c r="E5">
        <v>0.48188623655507767</v>
      </c>
      <c r="F5">
        <v>-0.86489400000000005</v>
      </c>
      <c r="G5">
        <v>9.1570000000000002E-3</v>
      </c>
      <c r="I5" t="s">
        <v>16</v>
      </c>
      <c r="J5">
        <f t="shared" si="0"/>
        <v>5</v>
      </c>
      <c r="K5">
        <f t="shared" si="1"/>
        <v>2</v>
      </c>
      <c r="L5">
        <f t="shared" si="2"/>
        <v>4</v>
      </c>
      <c r="M5">
        <f t="shared" si="3"/>
        <v>3</v>
      </c>
      <c r="N5">
        <f t="shared" si="4"/>
        <v>4</v>
      </c>
      <c r="O5">
        <f>RANK(G5,$G$2:$G$7)</f>
        <v>3</v>
      </c>
    </row>
    <row r="6" spans="1:15" x14ac:dyDescent="0.35">
      <c r="A6" t="s">
        <v>17</v>
      </c>
      <c r="B6">
        <v>6.8867763405043483E-2</v>
      </c>
      <c r="C6">
        <v>3.1610037519442712E-2</v>
      </c>
      <c r="D6">
        <v>2.459827077622077E-2</v>
      </c>
      <c r="E6">
        <v>0.31890599713677331</v>
      </c>
      <c r="F6">
        <v>-0.87893600000000005</v>
      </c>
      <c r="G6">
        <v>6.5799999999999999E-3</v>
      </c>
      <c r="I6" t="s">
        <v>17</v>
      </c>
      <c r="J6">
        <f t="shared" si="0"/>
        <v>6</v>
      </c>
      <c r="K6">
        <f t="shared" si="1"/>
        <v>1</v>
      </c>
      <c r="L6">
        <f t="shared" si="2"/>
        <v>5</v>
      </c>
      <c r="M6">
        <f t="shared" si="3"/>
        <v>5</v>
      </c>
      <c r="N6">
        <f t="shared" si="4"/>
        <v>2</v>
      </c>
      <c r="O6">
        <f t="shared" si="5"/>
        <v>4</v>
      </c>
    </row>
    <row r="7" spans="1:15" x14ac:dyDescent="0.35">
      <c r="A7" t="s">
        <v>18</v>
      </c>
      <c r="B7">
        <v>-2.86795693948338E-2</v>
      </c>
      <c r="C7">
        <v>-8.1259218429232435E-2</v>
      </c>
      <c r="D7">
        <v>3.5645949408715683E-2</v>
      </c>
      <c r="E7">
        <v>0.26548743185471108</v>
      </c>
      <c r="F7">
        <v>-0.89031899999999997</v>
      </c>
      <c r="G7">
        <v>4.5799999999999999E-3</v>
      </c>
      <c r="I7" t="s">
        <v>18</v>
      </c>
      <c r="J7">
        <f t="shared" si="0"/>
        <v>3</v>
      </c>
      <c r="K7">
        <f t="shared" si="1"/>
        <v>6</v>
      </c>
      <c r="L7">
        <f t="shared" si="2"/>
        <v>2</v>
      </c>
      <c r="M7">
        <f t="shared" si="3"/>
        <v>6</v>
      </c>
      <c r="N7">
        <f t="shared" si="4"/>
        <v>1</v>
      </c>
      <c r="O7">
        <f t="shared" si="5"/>
        <v>6</v>
      </c>
    </row>
    <row r="9" spans="1:15" x14ac:dyDescent="0.35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15" x14ac:dyDescent="0.35">
      <c r="A10" t="s">
        <v>27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31</v>
      </c>
    </row>
    <row r="11" spans="1:15" x14ac:dyDescent="0.35">
      <c r="A11" t="s">
        <v>14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32</v>
      </c>
    </row>
    <row r="12" spans="1:15" x14ac:dyDescent="0.35">
      <c r="A12" t="s">
        <v>28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33</v>
      </c>
    </row>
    <row r="13" spans="1:15" x14ac:dyDescent="0.35">
      <c r="A13" t="s">
        <v>29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34</v>
      </c>
    </row>
    <row r="14" spans="1:15" x14ac:dyDescent="0.35">
      <c r="A14" t="s">
        <v>17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35</v>
      </c>
    </row>
    <row r="15" spans="1:15" x14ac:dyDescent="0.35">
      <c r="A15" t="s">
        <v>30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36</v>
      </c>
    </row>
    <row r="17" spans="2:9" x14ac:dyDescent="0.35">
      <c r="B17" t="s">
        <v>21</v>
      </c>
      <c r="C17" t="s">
        <v>23</v>
      </c>
      <c r="D17" t="s">
        <v>22</v>
      </c>
      <c r="E17" t="s">
        <v>24</v>
      </c>
      <c r="F17" t="s">
        <v>25</v>
      </c>
      <c r="G17" t="s">
        <v>26</v>
      </c>
    </row>
    <row r="20" spans="2:9" x14ac:dyDescent="0.35">
      <c r="H20" s="1"/>
      <c r="I20" s="1"/>
    </row>
    <row r="21" spans="2:9" x14ac:dyDescent="0.35">
      <c r="H21" s="1"/>
      <c r="I21" s="1"/>
    </row>
    <row r="22" spans="2:9" x14ac:dyDescent="0.35">
      <c r="H22" s="1"/>
      <c r="I22" s="1"/>
    </row>
    <row r="23" spans="2:9" x14ac:dyDescent="0.35">
      <c r="H23" s="1"/>
      <c r="I23" s="1"/>
    </row>
    <row r="24" spans="2:9" x14ac:dyDescent="0.35">
      <c r="H24" s="1"/>
      <c r="I24" s="1"/>
    </row>
    <row r="25" spans="2:9" x14ac:dyDescent="0.35">
      <c r="H25" s="1"/>
      <c r="I25" s="1"/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shap interaction</vt:lpstr>
      <vt:lpstr>correlation_matrix</vt:lpstr>
      <vt:lpstr>radar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YM Yang</cp:lastModifiedBy>
  <dcterms:created xsi:type="dcterms:W3CDTF">2024-10-21T12:10:52Z</dcterms:created>
  <dcterms:modified xsi:type="dcterms:W3CDTF">2026-10-27T16:11:46Z</dcterms:modified>
</cp:coreProperties>
</file>